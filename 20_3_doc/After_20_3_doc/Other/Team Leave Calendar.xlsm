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Others\Utilities\"/>
    </mc:Choice>
  </mc:AlternateContent>
  <bookViews>
    <workbookView xWindow="0" yWindow="0" windowWidth="15480" windowHeight="7425" firstSheet="2" activeTab="2"/>
  </bookViews>
  <sheets>
    <sheet name="Calendar View" sheetId="3" r:id="rId1"/>
    <sheet name="Combined Leave View" sheetId="4" r:id="rId2"/>
    <sheet name="Employee Leave Tracker" sheetId="1" r:id="rId3"/>
    <sheet name="Settings" sheetId="2" r:id="rId4"/>
    <sheet name="AcknowledgeSheet" sheetId="6" r:id="rId5"/>
    <sheet name="SnapmailSheet" sheetId="5" state="hidden" r:id="rId6"/>
  </sheets>
  <functionGroups builtInGroupCount="18"/>
  <externalReferences>
    <externalReference r:id="rId7"/>
  </externalReferences>
  <definedNames>
    <definedName name="_xlnm._FilterDatabase" localSheetId="4" hidden="1">AcknowledgeSheet!#REF!</definedName>
    <definedName name="calendar" localSheetId="1">daysAndWks + 'Calendar View'!dateOfFirst - WEEKDAY('Calendar View'!dateOfFirst,2)</definedName>
    <definedName name="calendar">daysAndWks + dateOfFirst - WEEKDAY(dateOfFirst,2)</definedName>
    <definedName name="dateOfFirst" localSheetId="1">DATE('Combined Leave View'!$AI$4,MONTH('Combined Leave View'!$X$5),1)</definedName>
    <definedName name="dateOfFirst">DATE('Calendar View'!$AN$5,MONTH('Calendar View'!$C1),1)</definedName>
    <definedName name="daysAndWks">COLUMN(OFFSET(INDIRECT("$A$1"),0,0,1,42))-1</definedName>
    <definedName name="lstEDates">tblLeave[End Date]</definedName>
    <definedName name="lstEmployees">tblEmployees[List of Employees]</definedName>
    <definedName name="lstEmpNames">tblLeave[Employee Name]</definedName>
    <definedName name="lstHolidays">tblCompanyHolidays[Company Holidays]</definedName>
    <definedName name="lstHolidayTypes">tblLeaveTypes[Type of Leave]</definedName>
    <definedName name="lstHTypes">tblLeave[Type of Leave]</definedName>
    <definedName name="lstSdates">tblLeave[Start Date]</definedName>
    <definedName name="valSelEmployee">'Calendar View'!$AN$3</definedName>
    <definedName name="valSelEmployee0">'Combined Leave View'!#REF!</definedName>
    <definedName name="valSelEmployee1">'Combined Leave View'!#REF!</definedName>
    <definedName name="valSelEmployee10">'Combined Leave View'!#REF!</definedName>
    <definedName name="valSelEmployee11">'Combined Leave View'!#REF!</definedName>
    <definedName name="valSelEmployee12">'Combined Leave View'!#REF!</definedName>
    <definedName name="valSelEmployee13">'Combined Leave View'!#REF!</definedName>
    <definedName name="valSelEmployee14">'Combined Leave View'!#REF!</definedName>
    <definedName name="valSelEmployee15">'Combined Leave View'!#REF!</definedName>
    <definedName name="valSelEmployee16">'Combined Leave View'!#REF!</definedName>
    <definedName name="valSelEmployee2">'Combined Leave View'!#REF!</definedName>
    <definedName name="valSelEmployee3">'Combined Leave View'!#REF!</definedName>
    <definedName name="valSelEmployee4">'Combined Leave View'!#REF!</definedName>
    <definedName name="valSelEmployee5">'Combined Leave View'!#REF!</definedName>
    <definedName name="valSelEmployee6">'Combined Leave View'!#REF!</definedName>
    <definedName name="valSelEmployee7">'Combined Leave View'!#REF!</definedName>
    <definedName name="valSelEmployee8">'Combined Leave View'!#REF!</definedName>
    <definedName name="valSelEmployee9">'Combined Leave View'!#REF!</definedName>
    <definedName name="WeekView">'Combined Leave View'!$X$5:$AD$6</definedName>
  </definedNames>
  <calcPr calcId="152511"/>
</workbook>
</file>

<file path=xl/calcChain.xml><?xml version="1.0" encoding="utf-8"?>
<calcChain xmlns="http://schemas.openxmlformats.org/spreadsheetml/2006/main">
  <c r="D1" i="4" l="1"/>
  <c r="G9" i="4"/>
  <c r="O9" i="4"/>
  <c r="W9" i="4"/>
  <c r="AD9" i="4"/>
  <c r="C9" i="4" l="1"/>
  <c r="D12" i="4"/>
  <c r="E12" i="4" s="1"/>
  <c r="F12" i="4" s="1"/>
  <c r="G12" i="4" s="1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L30" i="3" l="1"/>
  <c r="L26" i="3" l="1"/>
  <c r="L31" i="3" l="1"/>
  <c r="C10" i="3"/>
  <c r="C11" i="3"/>
  <c r="C12" i="3"/>
  <c r="C13" i="3"/>
  <c r="C14" i="3"/>
  <c r="C15" i="3"/>
  <c r="C16" i="3"/>
  <c r="C17" i="3"/>
  <c r="C18" i="3"/>
  <c r="C19" i="3"/>
  <c r="C20" i="3"/>
  <c r="C9" i="3"/>
  <c r="H13" i="3" a="1"/>
  <c r="H18" i="3" a="1"/>
  <c r="H19" i="3" a="1"/>
  <c r="H16" i="3" a="1"/>
  <c r="H14" i="3" a="1"/>
  <c r="H17" i="3" a="1"/>
  <c r="H12" i="3" a="1"/>
  <c r="H15" i="3" a="1"/>
  <c r="H10" i="3" a="1"/>
  <c r="H9" i="3" a="1"/>
  <c r="H20" i="3" a="1"/>
  <c r="H11" i="3" a="1"/>
  <c r="J16" i="3" l="1"/>
  <c r="N16" i="3"/>
  <c r="R16" i="3"/>
  <c r="V16" i="3"/>
  <c r="Z16" i="3"/>
  <c r="AD16" i="3"/>
  <c r="AH16" i="3"/>
  <c r="AL16" i="3"/>
  <c r="AP16" i="3"/>
  <c r="AT16" i="3"/>
  <c r="H16" i="3"/>
  <c r="M16" i="3"/>
  <c r="S16" i="3"/>
  <c r="X16" i="3"/>
  <c r="AC16" i="3"/>
  <c r="AI16" i="3"/>
  <c r="AN16" i="3"/>
  <c r="AS16" i="3"/>
  <c r="I16" i="3"/>
  <c r="O16" i="3"/>
  <c r="T16" i="3"/>
  <c r="Y16" i="3"/>
  <c r="AE16" i="3"/>
  <c r="AJ16" i="3"/>
  <c r="AO16" i="3"/>
  <c r="AU16" i="3"/>
  <c r="K16" i="3"/>
  <c r="U16" i="3"/>
  <c r="AF16" i="3"/>
  <c r="AQ16" i="3"/>
  <c r="L16" i="3"/>
  <c r="W16" i="3"/>
  <c r="AG16" i="3"/>
  <c r="AR16" i="3"/>
  <c r="P16" i="3"/>
  <c r="AA16" i="3"/>
  <c r="AK16" i="3"/>
  <c r="AV16" i="3"/>
  <c r="Q16" i="3"/>
  <c r="AB16" i="3"/>
  <c r="AM16" i="3"/>
  <c r="AW16" i="3"/>
  <c r="I20" i="3"/>
  <c r="M20" i="3"/>
  <c r="Q20" i="3"/>
  <c r="U20" i="3"/>
  <c r="Y20" i="3"/>
  <c r="AC20" i="3"/>
  <c r="AG20" i="3"/>
  <c r="AK20" i="3"/>
  <c r="AO20" i="3"/>
  <c r="AS20" i="3"/>
  <c r="AW20" i="3"/>
  <c r="J20" i="3"/>
  <c r="N20" i="3"/>
  <c r="R20" i="3"/>
  <c r="V20" i="3"/>
  <c r="Z20" i="3"/>
  <c r="AD20" i="3"/>
  <c r="AH20" i="3"/>
  <c r="AL20" i="3"/>
  <c r="AP20" i="3"/>
  <c r="AT20" i="3"/>
  <c r="K20" i="3"/>
  <c r="S20" i="3"/>
  <c r="AA20" i="3"/>
  <c r="AI20" i="3"/>
  <c r="AQ20" i="3"/>
  <c r="P20" i="3"/>
  <c r="AF20" i="3"/>
  <c r="AV20" i="3"/>
  <c r="L20" i="3"/>
  <c r="T20" i="3"/>
  <c r="AB20" i="3"/>
  <c r="AJ20" i="3"/>
  <c r="AR20" i="3"/>
  <c r="O20" i="3"/>
  <c r="W20" i="3"/>
  <c r="AE20" i="3"/>
  <c r="AM20" i="3"/>
  <c r="AU20" i="3"/>
  <c r="H20" i="3"/>
  <c r="X20" i="3"/>
  <c r="AN20" i="3"/>
  <c r="I15" i="3"/>
  <c r="M15" i="3"/>
  <c r="Q15" i="3"/>
  <c r="U15" i="3"/>
  <c r="Y15" i="3"/>
  <c r="AC15" i="3"/>
  <c r="AG15" i="3"/>
  <c r="AK15" i="3"/>
  <c r="AO15" i="3"/>
  <c r="AS15" i="3"/>
  <c r="AW15" i="3"/>
  <c r="H15" i="3"/>
  <c r="N15" i="3"/>
  <c r="S15" i="3"/>
  <c r="X15" i="3"/>
  <c r="AD15" i="3"/>
  <c r="AI15" i="3"/>
  <c r="AN15" i="3"/>
  <c r="AT15" i="3"/>
  <c r="J15" i="3"/>
  <c r="O15" i="3"/>
  <c r="T15" i="3"/>
  <c r="Z15" i="3"/>
  <c r="AE15" i="3"/>
  <c r="AJ15" i="3"/>
  <c r="AP15" i="3"/>
  <c r="AU15" i="3"/>
  <c r="P15" i="3"/>
  <c r="V15" i="3"/>
  <c r="AA15" i="3"/>
  <c r="L15" i="3"/>
  <c r="AF15" i="3"/>
  <c r="AQ15" i="3"/>
  <c r="R15" i="3"/>
  <c r="AH15" i="3"/>
  <c r="AR15" i="3"/>
  <c r="W15" i="3"/>
  <c r="AL15" i="3"/>
  <c r="AV15" i="3"/>
  <c r="K15" i="3"/>
  <c r="AB15" i="3"/>
  <c r="AM15" i="3"/>
  <c r="H19" i="3"/>
  <c r="L19" i="3"/>
  <c r="P19" i="3"/>
  <c r="T19" i="3"/>
  <c r="X19" i="3"/>
  <c r="AB19" i="3"/>
  <c r="AF19" i="3"/>
  <c r="AJ19" i="3"/>
  <c r="AN19" i="3"/>
  <c r="AR19" i="3"/>
  <c r="AV19" i="3"/>
  <c r="I19" i="3"/>
  <c r="M19" i="3"/>
  <c r="Q19" i="3"/>
  <c r="U19" i="3"/>
  <c r="Y19" i="3"/>
  <c r="AC19" i="3"/>
  <c r="AG19" i="3"/>
  <c r="AK19" i="3"/>
  <c r="AO19" i="3"/>
  <c r="AS19" i="3"/>
  <c r="AW19" i="3"/>
  <c r="N19" i="3"/>
  <c r="V19" i="3"/>
  <c r="AD19" i="3"/>
  <c r="AL19" i="3"/>
  <c r="AT19" i="3"/>
  <c r="K19" i="3"/>
  <c r="AA19" i="3"/>
  <c r="AQ19" i="3"/>
  <c r="O19" i="3"/>
  <c r="W19" i="3"/>
  <c r="AE19" i="3"/>
  <c r="AM19" i="3"/>
  <c r="AU19" i="3"/>
  <c r="J19" i="3"/>
  <c r="R19" i="3"/>
  <c r="Z19" i="3"/>
  <c r="AH19" i="3"/>
  <c r="AP19" i="3"/>
  <c r="S19" i="3"/>
  <c r="AI19" i="3"/>
  <c r="I12" i="3"/>
  <c r="M12" i="3"/>
  <c r="Q12" i="3"/>
  <c r="U12" i="3"/>
  <c r="Y12" i="3"/>
  <c r="AC12" i="3"/>
  <c r="AG12" i="3"/>
  <c r="AK12" i="3"/>
  <c r="AO12" i="3"/>
  <c r="AS12" i="3"/>
  <c r="AW12" i="3"/>
  <c r="J12" i="3"/>
  <c r="N12" i="3"/>
  <c r="R12" i="3"/>
  <c r="V12" i="3"/>
  <c r="Z12" i="3"/>
  <c r="AD12" i="3"/>
  <c r="AH12" i="3"/>
  <c r="AL12" i="3"/>
  <c r="AP12" i="3"/>
  <c r="AT12" i="3"/>
  <c r="K12" i="3"/>
  <c r="S12" i="3"/>
  <c r="AA12" i="3"/>
  <c r="AI12" i="3"/>
  <c r="AQ12" i="3"/>
  <c r="L12" i="3"/>
  <c r="T12" i="3"/>
  <c r="AB12" i="3"/>
  <c r="AJ12" i="3"/>
  <c r="AR12" i="3"/>
  <c r="O12" i="3"/>
  <c r="W12" i="3"/>
  <c r="AE12" i="3"/>
  <c r="AM12" i="3"/>
  <c r="AU12" i="3"/>
  <c r="X12" i="3"/>
  <c r="P12" i="3"/>
  <c r="AF12" i="3"/>
  <c r="H12" i="3"/>
  <c r="AN12" i="3"/>
  <c r="AV12" i="3"/>
  <c r="H11" i="3"/>
  <c r="L11" i="3"/>
  <c r="P11" i="3"/>
  <c r="T11" i="3"/>
  <c r="X11" i="3"/>
  <c r="AB11" i="3"/>
  <c r="AF11" i="3"/>
  <c r="AJ11" i="3"/>
  <c r="AN11" i="3"/>
  <c r="AR11" i="3"/>
  <c r="AV11" i="3"/>
  <c r="I11" i="3"/>
  <c r="M11" i="3"/>
  <c r="Q11" i="3"/>
  <c r="U11" i="3"/>
  <c r="Y11" i="3"/>
  <c r="AC11" i="3"/>
  <c r="AG11" i="3"/>
  <c r="AK11" i="3"/>
  <c r="AO11" i="3"/>
  <c r="AS11" i="3"/>
  <c r="AW11" i="3"/>
  <c r="N11" i="3"/>
  <c r="V11" i="3"/>
  <c r="AD11" i="3"/>
  <c r="AL11" i="3"/>
  <c r="AT11" i="3"/>
  <c r="O11" i="3"/>
  <c r="W11" i="3"/>
  <c r="AE11" i="3"/>
  <c r="AM11" i="3"/>
  <c r="AU11" i="3"/>
  <c r="J11" i="3"/>
  <c r="R11" i="3"/>
  <c r="Z11" i="3"/>
  <c r="AH11" i="3"/>
  <c r="AP11" i="3"/>
  <c r="AI11" i="3"/>
  <c r="K11" i="3"/>
  <c r="AQ11" i="3"/>
  <c r="S11" i="3"/>
  <c r="AA11" i="3"/>
  <c r="K18" i="3"/>
  <c r="O18" i="3"/>
  <c r="S18" i="3"/>
  <c r="W18" i="3"/>
  <c r="AA18" i="3"/>
  <c r="AE18" i="3"/>
  <c r="AI18" i="3"/>
  <c r="AM18" i="3"/>
  <c r="AQ18" i="3"/>
  <c r="AU18" i="3"/>
  <c r="H18" i="3"/>
  <c r="L18" i="3"/>
  <c r="P18" i="3"/>
  <c r="T18" i="3"/>
  <c r="X18" i="3"/>
  <c r="AB18" i="3"/>
  <c r="AF18" i="3"/>
  <c r="AJ18" i="3"/>
  <c r="AN18" i="3"/>
  <c r="AR18" i="3"/>
  <c r="AV18" i="3"/>
  <c r="I18" i="3"/>
  <c r="Q18" i="3"/>
  <c r="Y18" i="3"/>
  <c r="AG18" i="3"/>
  <c r="AO18" i="3"/>
  <c r="AW18" i="3"/>
  <c r="AL18" i="3"/>
  <c r="J18" i="3"/>
  <c r="R18" i="3"/>
  <c r="Z18" i="3"/>
  <c r="AH18" i="3"/>
  <c r="AP18" i="3"/>
  <c r="M18" i="3"/>
  <c r="U18" i="3"/>
  <c r="AC18" i="3"/>
  <c r="AK18" i="3"/>
  <c r="AS18" i="3"/>
  <c r="N18" i="3"/>
  <c r="V18" i="3"/>
  <c r="AD18" i="3"/>
  <c r="AT18" i="3"/>
  <c r="K17" i="3"/>
  <c r="O17" i="3"/>
  <c r="S17" i="3"/>
  <c r="W17" i="3"/>
  <c r="AA17" i="3"/>
  <c r="AE17" i="3"/>
  <c r="AI17" i="3"/>
  <c r="AM17" i="3"/>
  <c r="AQ17" i="3"/>
  <c r="AU17" i="3"/>
  <c r="H17" i="3"/>
  <c r="M17" i="3"/>
  <c r="R17" i="3"/>
  <c r="X17" i="3"/>
  <c r="AC17" i="3"/>
  <c r="AH17" i="3"/>
  <c r="AN17" i="3"/>
  <c r="AS17" i="3"/>
  <c r="I17" i="3"/>
  <c r="N17" i="3"/>
  <c r="T17" i="3"/>
  <c r="Y17" i="3"/>
  <c r="AD17" i="3"/>
  <c r="AJ17" i="3"/>
  <c r="AO17" i="3"/>
  <c r="AT17" i="3"/>
  <c r="J17" i="3"/>
  <c r="U17" i="3"/>
  <c r="AF17" i="3"/>
  <c r="AP17" i="3"/>
  <c r="AW17" i="3"/>
  <c r="L17" i="3"/>
  <c r="V17" i="3"/>
  <c r="AG17" i="3"/>
  <c r="AR17" i="3"/>
  <c r="P17" i="3"/>
  <c r="Z17" i="3"/>
  <c r="AK17" i="3"/>
  <c r="AV17" i="3"/>
  <c r="Q17" i="3"/>
  <c r="AB17" i="3"/>
  <c r="AL17" i="3"/>
  <c r="J13" i="3"/>
  <c r="N13" i="3"/>
  <c r="R13" i="3"/>
  <c r="V13" i="3"/>
  <c r="Z13" i="3"/>
  <c r="AD13" i="3"/>
  <c r="AH13" i="3"/>
  <c r="AL13" i="3"/>
  <c r="AP13" i="3"/>
  <c r="AT13" i="3"/>
  <c r="K13" i="3"/>
  <c r="O13" i="3"/>
  <c r="S13" i="3"/>
  <c r="W13" i="3"/>
  <c r="AA13" i="3"/>
  <c r="AE13" i="3"/>
  <c r="AI13" i="3"/>
  <c r="AM13" i="3"/>
  <c r="AQ13" i="3"/>
  <c r="AU13" i="3"/>
  <c r="H13" i="3"/>
  <c r="P13" i="3"/>
  <c r="X13" i="3"/>
  <c r="AF13" i="3"/>
  <c r="AN13" i="3"/>
  <c r="AV13" i="3"/>
  <c r="I13" i="3"/>
  <c r="Q13" i="3"/>
  <c r="Y13" i="3"/>
  <c r="AG13" i="3"/>
  <c r="AO13" i="3"/>
  <c r="AW13" i="3"/>
  <c r="L13" i="3"/>
  <c r="T13" i="3"/>
  <c r="AB13" i="3"/>
  <c r="AJ13" i="3"/>
  <c r="AR13" i="3"/>
  <c r="M13" i="3"/>
  <c r="AS13" i="3"/>
  <c r="U13" i="3"/>
  <c r="AC13" i="3"/>
  <c r="AK13" i="3"/>
  <c r="K14" i="3"/>
  <c r="O14" i="3"/>
  <c r="S14" i="3"/>
  <c r="W14" i="3"/>
  <c r="AA14" i="3"/>
  <c r="AE14" i="3"/>
  <c r="AI14" i="3"/>
  <c r="AM14" i="3"/>
  <c r="AQ14" i="3"/>
  <c r="AU14" i="3"/>
  <c r="H14" i="3"/>
  <c r="L14" i="3"/>
  <c r="P14" i="3"/>
  <c r="T14" i="3"/>
  <c r="X14" i="3"/>
  <c r="AB14" i="3"/>
  <c r="AF14" i="3"/>
  <c r="AJ14" i="3"/>
  <c r="AN14" i="3"/>
  <c r="AR14" i="3"/>
  <c r="AV14" i="3"/>
  <c r="M14" i="3"/>
  <c r="U14" i="3"/>
  <c r="AC14" i="3"/>
  <c r="AK14" i="3"/>
  <c r="AS14" i="3"/>
  <c r="N14" i="3"/>
  <c r="V14" i="3"/>
  <c r="AD14" i="3"/>
  <c r="AL14" i="3"/>
  <c r="AT14" i="3"/>
  <c r="I14" i="3"/>
  <c r="Q14" i="3"/>
  <c r="Y14" i="3"/>
  <c r="AG14" i="3"/>
  <c r="AO14" i="3"/>
  <c r="AW14" i="3"/>
  <c r="AH14" i="3"/>
  <c r="J14" i="3"/>
  <c r="AP14" i="3"/>
  <c r="R14" i="3"/>
  <c r="Z14" i="3"/>
  <c r="K10" i="3"/>
  <c r="O10" i="3"/>
  <c r="S10" i="3"/>
  <c r="W10" i="3"/>
  <c r="AA10" i="3"/>
  <c r="AE10" i="3"/>
  <c r="AI10" i="3"/>
  <c r="AM10" i="3"/>
  <c r="AQ10" i="3"/>
  <c r="AU10" i="3"/>
  <c r="H10" i="3"/>
  <c r="L10" i="3"/>
  <c r="P10" i="3"/>
  <c r="T10" i="3"/>
  <c r="X10" i="3"/>
  <c r="AB10" i="3"/>
  <c r="AF10" i="3"/>
  <c r="AJ10" i="3"/>
  <c r="AN10" i="3"/>
  <c r="AR10" i="3"/>
  <c r="AV10" i="3"/>
  <c r="I10" i="3"/>
  <c r="Q10" i="3"/>
  <c r="Y10" i="3"/>
  <c r="AG10" i="3"/>
  <c r="AO10" i="3"/>
  <c r="AW10" i="3"/>
  <c r="U10" i="3"/>
  <c r="J10" i="3"/>
  <c r="R10" i="3"/>
  <c r="Z10" i="3"/>
  <c r="AH10" i="3"/>
  <c r="AP10" i="3"/>
  <c r="M10" i="3"/>
  <c r="AC10" i="3"/>
  <c r="AK10" i="3"/>
  <c r="AS10" i="3"/>
  <c r="N10" i="3"/>
  <c r="AT10" i="3"/>
  <c r="V10" i="3"/>
  <c r="AD10" i="3"/>
  <c r="AL10" i="3"/>
  <c r="K9" i="3"/>
  <c r="O9" i="3"/>
  <c r="S9" i="3"/>
  <c r="W9" i="3"/>
  <c r="AA9" i="3"/>
  <c r="AE9" i="3"/>
  <c r="AI9" i="3"/>
  <c r="AM9" i="3"/>
  <c r="AQ9" i="3"/>
  <c r="AU9" i="3"/>
  <c r="H9" i="3"/>
  <c r="L9" i="3"/>
  <c r="P9" i="3"/>
  <c r="T9" i="3"/>
  <c r="X9" i="3"/>
  <c r="AB9" i="3"/>
  <c r="AF9" i="3"/>
  <c r="AJ9" i="3"/>
  <c r="AN9" i="3"/>
  <c r="AR9" i="3"/>
  <c r="AV9" i="3"/>
  <c r="I9" i="3"/>
  <c r="M9" i="3"/>
  <c r="Q9" i="3"/>
  <c r="U9" i="3"/>
  <c r="Y9" i="3"/>
  <c r="AC9" i="3"/>
  <c r="AG9" i="3"/>
  <c r="AK9" i="3"/>
  <c r="AO9" i="3"/>
  <c r="AS9" i="3"/>
  <c r="AW9" i="3"/>
  <c r="J9" i="3"/>
  <c r="N9" i="3"/>
  <c r="R9" i="3"/>
  <c r="V9" i="3"/>
  <c r="Z9" i="3"/>
  <c r="AD9" i="3"/>
  <c r="AH9" i="3"/>
  <c r="AL9" i="3"/>
  <c r="AP9" i="3"/>
  <c r="AT9" i="3"/>
  <c r="T30" i="3"/>
  <c r="AJ30" i="3" l="1"/>
  <c r="T26" i="3"/>
  <c r="T31" i="3" s="1"/>
  <c r="AR26" i="3"/>
  <c r="AR30" i="3"/>
  <c r="AB26" i="3"/>
  <c r="AB30" i="3"/>
  <c r="D30" i="3"/>
  <c r="AJ26" i="3"/>
  <c r="D26" i="3"/>
  <c r="AJ31" i="3" l="1"/>
  <c r="D31" i="3"/>
  <c r="AR31" i="3"/>
  <c r="AB31" i="3"/>
</calcChain>
</file>

<file path=xl/sharedStrings.xml><?xml version="1.0" encoding="utf-8"?>
<sst xmlns="http://schemas.openxmlformats.org/spreadsheetml/2006/main" count="134" uniqueCount="83">
  <si>
    <t>Employee Name</t>
  </si>
  <si>
    <t>Sick Leave</t>
  </si>
  <si>
    <t>Bereavement</t>
  </si>
  <si>
    <t>List of Employees</t>
  </si>
  <si>
    <t>S</t>
  </si>
  <si>
    <t>M</t>
  </si>
  <si>
    <t>T</t>
  </si>
  <si>
    <t>W</t>
  </si>
  <si>
    <t>F</t>
  </si>
  <si>
    <t>Start Date</t>
  </si>
  <si>
    <t>End Date</t>
  </si>
  <si>
    <t># of Days Sick</t>
  </si>
  <si>
    <t>on Bereavement</t>
  </si>
  <si>
    <t>on Other</t>
  </si>
  <si>
    <t>Days on Leave</t>
  </si>
  <si>
    <t>Working Days</t>
  </si>
  <si>
    <t>Company Holidays</t>
  </si>
  <si>
    <t>Days</t>
  </si>
  <si>
    <t>Description</t>
  </si>
  <si>
    <t>New Year's Day</t>
  </si>
  <si>
    <t>Christmas</t>
  </si>
  <si>
    <t>Independence Day</t>
  </si>
  <si>
    <t>on Vacation</t>
  </si>
  <si>
    <t>Vacation</t>
  </si>
  <si>
    <t>Type of Leave</t>
  </si>
  <si>
    <t>KEY STATISTICS</t>
  </si>
  <si>
    <t>Select an Employee:</t>
  </si>
  <si>
    <t>Select a Year:</t>
  </si>
  <si>
    <t>Republic Day</t>
  </si>
  <si>
    <t>Gandhi Jayanti</t>
  </si>
  <si>
    <t>Personal Work</t>
  </si>
  <si>
    <t>EMPLOYEE VACATION RECORD</t>
  </si>
  <si>
    <t>Abhishek Srivastava</t>
  </si>
  <si>
    <t>Ali Mahdi</t>
  </si>
  <si>
    <t>Ashutosh Kumar</t>
  </si>
  <si>
    <t>Deepika Singh</t>
  </si>
  <si>
    <t>Irfan Ahamad</t>
  </si>
  <si>
    <t>Mohd Shafeeq</t>
  </si>
  <si>
    <t>Nishant Kumar Yadav</t>
  </si>
  <si>
    <t>Rashid Mustafa</t>
  </si>
  <si>
    <t>Sarsij Kumar</t>
  </si>
  <si>
    <t>Soumen Roy</t>
  </si>
  <si>
    <t>Syed Amir Ali Naqvi</t>
  </si>
  <si>
    <t>Vibhor Jain</t>
  </si>
  <si>
    <t>Ayaz Hasan</t>
  </si>
  <si>
    <t>Holi</t>
  </si>
  <si>
    <t>Approval Status</t>
  </si>
  <si>
    <t>Manager's Comments(If Any)</t>
  </si>
  <si>
    <t>Leave Start Date</t>
  </si>
  <si>
    <t>Leave End Date</t>
  </si>
  <si>
    <t>CONSOLIDATED LEAVES VIEW</t>
  </si>
  <si>
    <t xml:space="preserve">Leave Color </t>
  </si>
  <si>
    <t>Leave Applied On</t>
  </si>
  <si>
    <t>Haroon Zia</t>
  </si>
  <si>
    <t>Mohammad Shariq Ansari</t>
  </si>
  <si>
    <t>Mohd Wasim</t>
  </si>
  <si>
    <t>Niharika Gupta</t>
  </si>
  <si>
    <t>Abhishek Gola</t>
  </si>
  <si>
    <t>Resource Name</t>
  </si>
  <si>
    <t>Total Leave Of Each Resource</t>
  </si>
  <si>
    <t>Project Name</t>
  </si>
  <si>
    <t>Project Owner</t>
  </si>
  <si>
    <t>Aliya Tabassum</t>
  </si>
  <si>
    <t>Total Leave's</t>
  </si>
  <si>
    <t xml:space="preserve">NOTE: -&gt; Kindly enter all dates in the format as "1/1/2016" i.e "Month/Date/Year"
</t>
  </si>
  <si>
    <t>Harish Kandpal</t>
  </si>
  <si>
    <t>Jogender</t>
  </si>
  <si>
    <t xml:space="preserve">Syed Mazhar Nadir </t>
  </si>
  <si>
    <t>February</t>
  </si>
  <si>
    <t>Shadab Hasan</t>
  </si>
  <si>
    <t>Rounak Jain</t>
  </si>
  <si>
    <t>Chirag Singh</t>
  </si>
  <si>
    <t>Kunal Kaushik</t>
  </si>
  <si>
    <t>Kamal Ahmad Ansari</t>
  </si>
  <si>
    <t>Gangineni Vihar</t>
  </si>
  <si>
    <t>Rubal Singh</t>
  </si>
  <si>
    <t>Nisha Kumari</t>
  </si>
  <si>
    <t>Mohd Razi Ahmad</t>
  </si>
  <si>
    <t>Ankur Rana</t>
  </si>
  <si>
    <t>Mahima Agrawal</t>
  </si>
  <si>
    <t xml:space="preserve">Prasun Kumar Jha </t>
  </si>
  <si>
    <t>Md Tarab Akthar</t>
  </si>
  <si>
    <t>Kush Gautam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</si>
</sst>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mmm"/>
    <numFmt numFmtId="165" formatCode="d"/>
    <numFmt numFmtId="166" formatCode="&quot;LAST YEAR &quot;\ General"/>
    <numFmt numFmtId="167" formatCode="&quot;LAST YEAR &quot;General"/>
    <numFmt numFmtId="168" formatCode="ddd\ dd"/>
    <numFmt numFmtId="169" formatCode="yyyy/m/d"/>
    <numFmt numFmtId="170" formatCode="yyyy/mm/dd"/>
  </numFmts>
  <fonts count="42" x14ac:knownFonts="1">
    <font>
      <sz val="10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0"/>
      <color theme="6" tint="-0.249977111117893"/>
      <name val="Trebuchet MS"/>
      <family val="2"/>
      <scheme val="minor"/>
    </font>
    <font>
      <sz val="9"/>
      <color theme="0"/>
      <name val="Trebuchet MS"/>
      <family val="2"/>
      <scheme val="minor"/>
    </font>
    <font>
      <sz val="12"/>
      <color theme="0"/>
      <name val="Trebuchet MS"/>
      <family val="2"/>
      <scheme val="minor"/>
    </font>
    <font>
      <sz val="11"/>
      <color theme="3"/>
      <name val="Bookman Old Style"/>
      <family val="1"/>
      <scheme val="major"/>
    </font>
    <font>
      <b/>
      <sz val="23"/>
      <color theme="3"/>
      <name val="Bookman Old Style"/>
      <family val="1"/>
      <scheme val="major"/>
    </font>
    <font>
      <sz val="9"/>
      <color theme="3"/>
      <name val="Bookman Old Style"/>
      <family val="1"/>
      <scheme val="major"/>
    </font>
    <font>
      <sz val="8"/>
      <color theme="3" tint="-0.499984740745262"/>
      <name val="Trebuchet MS"/>
      <family val="2"/>
      <scheme val="minor"/>
    </font>
    <font>
      <b/>
      <sz val="8"/>
      <color theme="9"/>
      <name val="Trebuchet MS"/>
      <family val="2"/>
      <scheme val="minor"/>
    </font>
    <font>
      <b/>
      <sz val="30"/>
      <color theme="0"/>
      <name val="Bookman Old Style"/>
      <family val="1"/>
      <scheme val="major"/>
    </font>
    <font>
      <b/>
      <sz val="30"/>
      <color theme="3"/>
      <name val="Bookman Old Style"/>
      <family val="1"/>
      <scheme val="major"/>
    </font>
    <font>
      <sz val="10"/>
      <color theme="1"/>
      <name val="Trebuchet MS"/>
      <family val="2"/>
      <scheme val="minor"/>
    </font>
    <font>
      <sz val="10"/>
      <color theme="1"/>
      <name val="Bookman Old Style"/>
      <family val="1"/>
      <scheme val="major"/>
    </font>
    <font>
      <b/>
      <sz val="26"/>
      <color theme="3"/>
      <name val="Bookman Old Style"/>
      <family val="2"/>
      <scheme val="major"/>
    </font>
    <font>
      <sz val="10"/>
      <color theme="3"/>
      <name val="Bookman Old Style"/>
      <family val="1"/>
      <scheme val="major"/>
    </font>
    <font>
      <sz val="9"/>
      <color theme="3" tint="-0.499984740745262"/>
      <name val="Trebuchet MS"/>
      <family val="2"/>
      <scheme val="minor"/>
    </font>
    <font>
      <sz val="9"/>
      <color theme="1"/>
      <name val="Trebuchet MS"/>
      <family val="2"/>
      <scheme val="minor"/>
    </font>
    <font>
      <b/>
      <sz val="9"/>
      <color theme="9"/>
      <name val="Trebuchet MS"/>
      <family val="2"/>
      <scheme val="minor"/>
    </font>
    <font>
      <sz val="9"/>
      <color theme="9"/>
      <name val="Trebuchet MS"/>
      <family val="2"/>
      <scheme val="minor"/>
    </font>
    <font>
      <b/>
      <sz val="28"/>
      <color theme="3"/>
      <name val="Imprint MT Shadow"/>
      <family val="5"/>
    </font>
    <font>
      <sz val="10"/>
      <color theme="1"/>
      <name val="Segoe UI"/>
      <family val="2"/>
    </font>
    <font>
      <u/>
      <sz val="10"/>
      <color theme="10"/>
      <name val="Trebuchet MS"/>
      <family val="2"/>
      <scheme val="minor"/>
    </font>
    <font>
      <u/>
      <sz val="10"/>
      <color theme="10"/>
      <name val="Segoe UI"/>
      <family val="2"/>
    </font>
    <font>
      <b/>
      <sz val="26"/>
      <color theme="3"/>
      <name val="Imprint MT Shadow"/>
      <family val="5"/>
    </font>
    <font>
      <sz val="10"/>
      <color rgb="FFFFC000"/>
      <name val="Trebuchet MS"/>
      <family val="2"/>
      <scheme val="minor"/>
    </font>
    <font>
      <sz val="8"/>
      <color rgb="FFFFC000"/>
      <name val="Trebuchet MS"/>
      <family val="2"/>
      <scheme val="minor"/>
    </font>
    <font>
      <sz val="24"/>
      <color theme="7" tint="0.59999389629810485"/>
      <name val="Trebuchet MS"/>
      <family val="2"/>
      <scheme val="minor"/>
    </font>
    <font>
      <b/>
      <sz val="24"/>
      <color theme="7" tint="0.59999389629810485"/>
      <name val="Imprint MT Shadow"/>
      <family val="5"/>
    </font>
    <font>
      <b/>
      <sz val="24"/>
      <color theme="7" tint="0.59999389629810485"/>
      <name val="Bookman Old Style"/>
      <family val="2"/>
      <scheme val="major"/>
    </font>
    <font>
      <b/>
      <sz val="10"/>
      <color rgb="FFFFC000"/>
      <name val="Trebuchet MS"/>
      <family val="2"/>
      <scheme val="minor"/>
    </font>
    <font>
      <sz val="10"/>
      <color theme="7" tint="-0.249977111117893"/>
      <name val="Trebuchet MS"/>
      <family val="2"/>
      <scheme val="minor"/>
    </font>
    <font>
      <sz val="10"/>
      <color theme="3"/>
      <name val="Trebuchet MS"/>
      <family val="2"/>
      <scheme val="minor"/>
    </font>
    <font>
      <sz val="8"/>
      <color theme="1"/>
      <name val="Trebuchet MS"/>
      <family val="2"/>
      <scheme val="minor"/>
    </font>
    <font>
      <b/>
      <sz val="10"/>
      <color theme="3"/>
      <name val="Imprint MT Shadow"/>
      <family val="5"/>
    </font>
    <font>
      <b/>
      <sz val="10"/>
      <color theme="3"/>
      <name val="Bookman Old Style"/>
      <family val="2"/>
      <scheme val="major"/>
    </font>
    <font>
      <b/>
      <sz val="10"/>
      <color theme="1" tint="4.9989318521683403E-2"/>
      <name val="Bookman Old Style"/>
      <family val="2"/>
      <scheme val="major"/>
    </font>
    <font>
      <sz val="10"/>
      <name val="Trebuchet MS"/>
      <family val="2"/>
      <scheme val="minor"/>
    </font>
    <font>
      <sz val="24"/>
      <color theme="1"/>
      <name val="Trebuchet MS"/>
      <family val="2"/>
      <scheme val="minor"/>
    </font>
    <font>
      <b/>
      <sz val="10"/>
      <color rgb="FFFF0000"/>
      <name val="Segoe UI"/>
      <family val="2"/>
    </font>
    <font>
      <b/>
      <sz val="10"/>
      <color rgb="FFFF0000"/>
      <name val="Trebuchet MS"/>
      <family val="2"/>
      <scheme val="minor"/>
    </font>
    <font>
      <sz val="10"/>
      <color indexed="39"/>
      <name val="Trebuchet MS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99"/>
        <bgColor indexed="64"/>
      </patternFill>
    </fill>
  </fills>
  <borders count="4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2" tint="-0.499984740745262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2" tint="-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2" tint="-0.49998474074526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2" tint="-0.499984740745262"/>
      </right>
      <top style="thin">
        <color theme="0" tint="-0.14999847407452621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0.39994506668294322"/>
      </right>
      <top style="thin">
        <color theme="0" tint="-0.14999847407452621"/>
      </top>
      <bottom/>
      <diagonal/>
    </border>
    <border>
      <left/>
      <right style="thin">
        <color theme="3" tint="0.3999450666829432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3" tint="0.3999450666829432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3" tint="0.39994506668294322"/>
      </right>
      <top style="thin">
        <color theme="0" tint="-0.14999847407452621"/>
      </top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2" tint="-0.499984740745262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2" tint="-0.499984740745262"/>
      </right>
      <top/>
      <bottom style="thin">
        <color theme="0" tint="-0.14999847407452621"/>
      </bottom>
      <diagonal/>
    </border>
    <border>
      <left/>
      <right/>
      <top style="thin">
        <color theme="3" tint="0.39994506668294322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</borders>
  <cellStyleXfs count="3">
    <xf numFmtId="0" fontId="0" fillId="0" borderId="0">
      <alignment vertical="center"/>
    </xf>
    <xf numFmtId="0" fontId="14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15" fontId="0" fillId="0" borderId="0" xfId="0" applyNumberFormat="1">
      <alignment vertical="center"/>
    </xf>
    <xf numFmtId="0" fontId="2" fillId="0" borderId="0" xfId="0" applyFont="1" applyBorder="1" applyAlignment="1"/>
    <xf numFmtId="0" fontId="2" fillId="0" borderId="3" xfId="0" applyFont="1" applyBorder="1" applyAlignment="1"/>
    <xf numFmtId="0" fontId="0" fillId="0" borderId="0" xfId="0" applyBorder="1">
      <alignment vertical="center"/>
    </xf>
    <xf numFmtId="164" fontId="5" fillId="3" borderId="10" xfId="0" applyNumberFormat="1" applyFont="1" applyFill="1" applyBorder="1" applyAlignment="1">
      <alignment horizontal="left" vertical="center"/>
    </xf>
    <xf numFmtId="164" fontId="5" fillId="0" borderId="10" xfId="0" applyNumberFormat="1" applyFont="1" applyFill="1" applyBorder="1" applyAlignment="1">
      <alignment horizontal="left" vertical="center"/>
    </xf>
    <xf numFmtId="164" fontId="5" fillId="0" borderId="12" xfId="0" applyNumberFormat="1" applyFont="1" applyFill="1" applyBorder="1" applyAlignment="1">
      <alignment horizontal="left" vertical="center"/>
    </xf>
    <xf numFmtId="14" fontId="0" fillId="2" borderId="5" xfId="0" applyNumberFormat="1" applyFill="1" applyBorder="1">
      <alignment vertical="center"/>
    </xf>
    <xf numFmtId="14" fontId="0" fillId="2" borderId="0" xfId="0" applyNumberFormat="1" applyFill="1" applyBorder="1">
      <alignment vertical="center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6" fillId="0" borderId="0" xfId="0" applyFont="1" applyFill="1" applyBorder="1">
      <alignment vertical="center"/>
    </xf>
    <xf numFmtId="0" fontId="1" fillId="0" borderId="0" xfId="0" applyFont="1" applyFill="1" applyBorder="1">
      <alignment vertical="center"/>
    </xf>
    <xf numFmtId="0" fontId="0" fillId="0" borderId="0" xfId="0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0" fillId="0" borderId="14" xfId="0" applyBorder="1">
      <alignment vertical="center"/>
    </xf>
    <xf numFmtId="14" fontId="12" fillId="0" borderId="0" xfId="0" applyNumberFormat="1" applyFont="1" applyFill="1" applyBorder="1" applyAlignment="1">
      <alignment horizontal="left" vertical="center" indent="1"/>
    </xf>
    <xf numFmtId="0" fontId="7" fillId="0" borderId="19" xfId="0" applyFont="1" applyBorder="1" applyAlignment="1">
      <alignment horizontal="center" vertical="center"/>
    </xf>
    <xf numFmtId="0" fontId="0" fillId="0" borderId="19" xfId="0" applyBorder="1">
      <alignment vertical="center"/>
    </xf>
    <xf numFmtId="0" fontId="1" fillId="2" borderId="20" xfId="0" applyFont="1" applyFill="1" applyBorder="1">
      <alignment vertical="center"/>
    </xf>
    <xf numFmtId="0" fontId="1" fillId="2" borderId="21" xfId="0" applyFont="1" applyFill="1" applyBorder="1">
      <alignment vertical="center"/>
    </xf>
    <xf numFmtId="0" fontId="3" fillId="2" borderId="22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0" fontId="3" fillId="2" borderId="25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7" fillId="0" borderId="0" xfId="0" applyFont="1" applyFill="1" applyBorder="1" applyAlignment="1"/>
    <xf numFmtId="167" fontId="8" fillId="0" borderId="0" xfId="0" applyNumberFormat="1" applyFont="1" applyBorder="1" applyAlignment="1">
      <alignment vertical="top"/>
    </xf>
    <xf numFmtId="0" fontId="9" fillId="0" borderId="0" xfId="0" applyFont="1" applyBorder="1" applyAlignment="1"/>
    <xf numFmtId="0" fontId="0" fillId="0" borderId="27" xfId="0" applyBorder="1">
      <alignment vertical="center"/>
    </xf>
    <xf numFmtId="165" fontId="12" fillId="3" borderId="2" xfId="0" applyNumberFormat="1" applyFont="1" applyFill="1" applyBorder="1" applyAlignment="1">
      <alignment horizontal="center" vertical="center"/>
    </xf>
    <xf numFmtId="165" fontId="12" fillId="3" borderId="1" xfId="0" applyNumberFormat="1" applyFont="1" applyFill="1" applyBorder="1" applyAlignment="1">
      <alignment horizontal="center" vertical="center"/>
    </xf>
    <xf numFmtId="165" fontId="12" fillId="3" borderId="17" xfId="0" applyNumberFormat="1" applyFont="1" applyFill="1" applyBorder="1" applyAlignment="1">
      <alignment horizontal="center" vertical="center"/>
    </xf>
    <xf numFmtId="165" fontId="12" fillId="3" borderId="11" xfId="0" applyNumberFormat="1" applyFont="1" applyFill="1" applyBorder="1" applyAlignment="1">
      <alignment horizontal="center" vertical="center"/>
    </xf>
    <xf numFmtId="165" fontId="12" fillId="0" borderId="2" xfId="0" applyNumberFormat="1" applyFont="1" applyBorder="1" applyAlignment="1">
      <alignment horizontal="center" vertical="center"/>
    </xf>
    <xf numFmtId="165" fontId="12" fillId="0" borderId="1" xfId="0" applyNumberFormat="1" applyFont="1" applyBorder="1" applyAlignment="1">
      <alignment horizontal="center" vertical="center"/>
    </xf>
    <xf numFmtId="165" fontId="12" fillId="0" borderId="17" xfId="0" applyNumberFormat="1" applyFont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 vertical="center"/>
    </xf>
    <xf numFmtId="165" fontId="12" fillId="0" borderId="18" xfId="0" applyNumberFormat="1" applyFont="1" applyBorder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 indent="1"/>
    </xf>
    <xf numFmtId="0" fontId="17" fillId="0" borderId="0" xfId="0" applyFont="1">
      <alignment vertical="center"/>
    </xf>
    <xf numFmtId="0" fontId="17" fillId="0" borderId="19" xfId="0" applyFont="1" applyBorder="1">
      <alignment vertical="center"/>
    </xf>
    <xf numFmtId="167" fontId="16" fillId="0" borderId="0" xfId="0" applyNumberFormat="1" applyFont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0" fontId="18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vertical="center"/>
    </xf>
    <xf numFmtId="14" fontId="0" fillId="0" borderId="0" xfId="0" applyNumberFormat="1" applyFont="1" applyFill="1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165" fontId="12" fillId="3" borderId="9" xfId="0" applyNumberFormat="1" applyFont="1" applyFill="1" applyBorder="1" applyAlignment="1">
      <alignment horizontal="center" vertical="center"/>
    </xf>
    <xf numFmtId="165" fontId="12" fillId="3" borderId="25" xfId="0" applyNumberFormat="1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0" xfId="0" applyFont="1" applyFill="1" applyBorder="1" applyAlignment="1">
      <alignment horizontal="left" vertical="center" indent="1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23" fillId="0" borderId="0" xfId="2" applyFont="1">
      <alignment vertical="center"/>
    </xf>
    <xf numFmtId="14" fontId="21" fillId="0" borderId="0" xfId="0" applyNumberFormat="1" applyFont="1" applyAlignment="1">
      <alignment horizontal="center" vertical="center"/>
    </xf>
    <xf numFmtId="14" fontId="21" fillId="0" borderId="14" xfId="0" applyNumberFormat="1" applyFont="1" applyBorder="1" applyAlignment="1">
      <alignment horizontal="center" vertical="center"/>
    </xf>
    <xf numFmtId="14" fontId="21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21" fillId="0" borderId="0" xfId="0" applyNumberFormat="1" applyFont="1">
      <alignment vertical="center"/>
    </xf>
    <xf numFmtId="0" fontId="31" fillId="0" borderId="0" xfId="0" applyFont="1" applyFill="1">
      <alignment vertical="center"/>
    </xf>
    <xf numFmtId="0" fontId="33" fillId="0" borderId="0" xfId="0" applyFont="1">
      <alignment vertical="center"/>
    </xf>
    <xf numFmtId="0" fontId="0" fillId="0" borderId="0" xfId="0" applyFont="1">
      <alignment vertical="center"/>
    </xf>
    <xf numFmtId="2" fontId="0" fillId="0" borderId="0" xfId="0" applyNumberFormat="1" applyFont="1">
      <alignment vertical="center"/>
    </xf>
    <xf numFmtId="0" fontId="0" fillId="0" borderId="0" xfId="0" applyFont="1" applyBorder="1">
      <alignment vertical="center"/>
    </xf>
    <xf numFmtId="0" fontId="35" fillId="0" borderId="0" xfId="1" applyFont="1" applyBorder="1" applyAlignment="1">
      <alignment vertical="center" wrapText="1"/>
    </xf>
    <xf numFmtId="0" fontId="15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right" vertical="center" indent="1"/>
    </xf>
    <xf numFmtId="0" fontId="35" fillId="0" borderId="0" xfId="1" applyFont="1" applyBorder="1" applyAlignment="1">
      <alignment horizontal="left" vertical="center" wrapText="1"/>
    </xf>
    <xf numFmtId="0" fontId="15" fillId="0" borderId="0" xfId="1" applyFont="1" applyBorder="1" applyAlignment="1">
      <alignment vertical="center" wrapText="1"/>
    </xf>
    <xf numFmtId="0" fontId="36" fillId="0" borderId="0" xfId="1" applyFont="1" applyBorder="1" applyAlignment="1">
      <alignment horizontal="right"/>
    </xf>
    <xf numFmtId="0" fontId="34" fillId="0" borderId="0" xfId="1" applyFont="1" applyBorder="1" applyAlignment="1">
      <alignment horizontal="left" vertical="center" wrapText="1" indent="1"/>
    </xf>
    <xf numFmtId="0" fontId="25" fillId="0" borderId="0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34" fillId="0" borderId="0" xfId="1" applyFont="1" applyFill="1" applyBorder="1" applyAlignment="1">
      <alignment horizontal="center" vertical="center" wrapText="1"/>
    </xf>
    <xf numFmtId="0" fontId="0" fillId="0" borderId="0" xfId="0" applyFont="1" applyFill="1" applyBorder="1">
      <alignment vertical="center"/>
    </xf>
    <xf numFmtId="0" fontId="36" fillId="0" borderId="0" xfId="1" applyFont="1" applyFill="1" applyBorder="1" applyAlignment="1">
      <alignment horizontal="center"/>
    </xf>
    <xf numFmtId="0" fontId="37" fillId="0" borderId="0" xfId="0" applyNumberFormat="1" applyFont="1" applyFill="1" applyBorder="1" applyAlignment="1">
      <alignment horizontal="center" vertical="center"/>
    </xf>
    <xf numFmtId="0" fontId="38" fillId="0" borderId="0" xfId="0" applyFont="1" applyBorder="1" applyAlignment="1">
      <alignment horizontal="center"/>
    </xf>
    <xf numFmtId="0" fontId="30" fillId="2" borderId="42" xfId="0" applyFont="1" applyFill="1" applyBorder="1" applyAlignment="1">
      <alignment horizontal="center" vertical="center"/>
    </xf>
    <xf numFmtId="0" fontId="30" fillId="2" borderId="45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39" fillId="0" borderId="14" xfId="0" applyFont="1" applyBorder="1" applyAlignment="1">
      <alignment horizontal="left" vertical="top"/>
    </xf>
    <xf numFmtId="0" fontId="40" fillId="0" borderId="0" xfId="0" applyFont="1" applyAlignment="1">
      <alignment vertical="center"/>
    </xf>
    <xf numFmtId="0" fontId="41" fillId="0" borderId="0" xfId="2" applyFont="1" applyAlignment="1">
      <alignment horizontal="center" vertical="center"/>
    </xf>
    <xf numFmtId="0" fontId="21" fillId="0" borderId="0" xfId="0" applyFont="1" applyAlignment="1">
      <alignment horizontal="left" vertical="center" indent="1"/>
    </xf>
    <xf numFmtId="0" fontId="21" fillId="0" borderId="14" xfId="0" applyFont="1" applyBorder="1">
      <alignment vertical="center"/>
    </xf>
    <xf numFmtId="0" fontId="21" fillId="2" borderId="41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left" vertical="center"/>
    </xf>
    <xf numFmtId="0" fontId="21" fillId="10" borderId="40" xfId="0" applyFont="1" applyFill="1" applyBorder="1" applyAlignment="1">
      <alignment horizontal="left" vertical="center" indent="1"/>
    </xf>
    <xf numFmtId="0" fontId="21" fillId="0" borderId="0" xfId="0" applyFont="1" applyFill="1" applyAlignment="1">
      <alignment horizontal="left" vertical="center" indent="1"/>
    </xf>
    <xf numFmtId="14" fontId="21" fillId="0" borderId="0" xfId="0" applyNumberFormat="1" applyFont="1" applyFill="1" applyBorder="1" applyAlignment="1">
      <alignment horizontal="left" vertical="center" indent="1"/>
    </xf>
    <xf numFmtId="0" fontId="21" fillId="8" borderId="40" xfId="0" applyFont="1" applyFill="1" applyBorder="1" applyAlignment="1">
      <alignment horizontal="left" vertical="center" indent="1"/>
    </xf>
    <xf numFmtId="0" fontId="21" fillId="9" borderId="40" xfId="0" applyFont="1" applyFill="1" applyBorder="1" applyAlignment="1">
      <alignment horizontal="left" vertical="center" indent="1"/>
    </xf>
    <xf numFmtId="0" fontId="21" fillId="11" borderId="40" xfId="0" applyFont="1" applyFill="1" applyBorder="1" applyAlignment="1">
      <alignment horizontal="left" vertical="center" indent="1"/>
    </xf>
    <xf numFmtId="0" fontId="21" fillId="0" borderId="40" xfId="0" applyFont="1" applyFill="1" applyBorder="1" applyAlignment="1">
      <alignment horizontal="left" vertical="center" indent="1"/>
    </xf>
    <xf numFmtId="169" fontId="21" fillId="0" borderId="0" xfId="0" applyNumberFormat="1" applyFont="1" applyFill="1" applyBorder="1" applyAlignment="1">
      <alignment horizontal="center" vertical="center"/>
    </xf>
    <xf numFmtId="170" fontId="21" fillId="0" borderId="0" xfId="0" applyNumberFormat="1" applyFont="1" applyAlignment="1">
      <alignment horizontal="center" vertical="center"/>
    </xf>
    <xf numFmtId="14" fontId="1" fillId="2" borderId="21" xfId="0" applyNumberFormat="1" applyFont="1" applyFill="1" applyBorder="1">
      <alignment vertical="center"/>
    </xf>
    <xf numFmtId="14" fontId="14" fillId="0" borderId="0" xfId="1" applyNumberFormat="1" applyFill="1" applyBorder="1" applyAlignment="1">
      <alignment vertical="center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14" fontId="0" fillId="0" borderId="27" xfId="0" applyNumberFormat="1" applyBorder="1">
      <alignment vertical="center"/>
    </xf>
    <xf numFmtId="14" fontId="6" fillId="0" borderId="0" xfId="0" applyNumberFormat="1" applyFont="1" applyFill="1" applyBorder="1">
      <alignment vertical="center"/>
    </xf>
    <xf numFmtId="0" fontId="21" fillId="0" borderId="0" xfId="0" applyNumberFormat="1" applyFont="1" applyAlignment="1">
      <alignment horizontal="center" vertical="center"/>
    </xf>
    <xf numFmtId="168" fontId="26" fillId="2" borderId="43" xfId="0" applyNumberFormat="1" applyFont="1" applyFill="1" applyBorder="1" applyAlignment="1">
      <alignment horizontal="center" textRotation="90"/>
    </xf>
    <xf numFmtId="168" fontId="26" fillId="2" borderId="44" xfId="0" applyNumberFormat="1" applyFont="1" applyFill="1" applyBorder="1" applyAlignment="1">
      <alignment horizontal="center" textRotation="90"/>
    </xf>
    <xf numFmtId="14" fontId="21" fillId="0" borderId="0" xfId="0" applyNumberFormat="1" applyFont="1" applyAlignment="1">
      <alignment horizontal="left" vertical="center" indent="1"/>
    </xf>
    <xf numFmtId="0" fontId="21" fillId="0" borderId="0" xfId="0" applyFont="1" applyAlignment="1">
      <alignment horizontal="left" vertical="center" wrapText="1" indent="1"/>
    </xf>
    <xf numFmtId="0" fontId="20" fillId="0" borderId="0" xfId="1" applyFont="1" applyBorder="1" applyAlignment="1">
      <alignment horizontal="left" vertical="center" wrapText="1" indent="1"/>
    </xf>
    <xf numFmtId="14" fontId="20" fillId="0" borderId="0" xfId="1" applyNumberFormat="1" applyFont="1" applyBorder="1" applyAlignment="1">
      <alignment horizontal="left" vertical="center" wrapText="1" indent="1"/>
    </xf>
    <xf numFmtId="14" fontId="5" fillId="3" borderId="6" xfId="0" applyNumberFormat="1" applyFont="1" applyFill="1" applyBorder="1" applyAlignment="1">
      <alignment horizontal="left" vertical="center"/>
    </xf>
    <xf numFmtId="164" fontId="5" fillId="3" borderId="6" xfId="0" applyNumberFormat="1" applyFont="1" applyFill="1" applyBorder="1" applyAlignment="1">
      <alignment horizontal="left" vertical="center"/>
    </xf>
    <xf numFmtId="164" fontId="5" fillId="3" borderId="16" xfId="0" applyNumberFormat="1" applyFont="1" applyFill="1" applyBorder="1" applyAlignment="1">
      <alignment horizontal="left" vertical="center"/>
    </xf>
    <xf numFmtId="14" fontId="5" fillId="0" borderId="7" xfId="0" applyNumberFormat="1" applyFont="1" applyFill="1" applyBorder="1" applyAlignment="1">
      <alignment horizontal="left" vertical="center"/>
    </xf>
    <xf numFmtId="164" fontId="5" fillId="0" borderId="7" xfId="0" applyNumberFormat="1" applyFont="1" applyFill="1" applyBorder="1" applyAlignment="1">
      <alignment horizontal="left" vertical="center"/>
    </xf>
    <xf numFmtId="164" fontId="5" fillId="0" borderId="15" xfId="0" applyNumberFormat="1" applyFont="1" applyFill="1" applyBorder="1" applyAlignment="1">
      <alignment horizontal="left" vertical="center"/>
    </xf>
    <xf numFmtId="14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4" fontId="5" fillId="0" borderId="6" xfId="0" applyNumberFormat="1" applyFont="1" applyFill="1" applyBorder="1" applyAlignment="1">
      <alignment horizontal="left" vertical="center"/>
    </xf>
    <xf numFmtId="164" fontId="5" fillId="0" borderId="6" xfId="0" applyNumberFormat="1" applyFont="1" applyFill="1" applyBorder="1" applyAlignment="1">
      <alignment horizontal="left" vertical="center"/>
    </xf>
    <xf numFmtId="164" fontId="5" fillId="0" borderId="16" xfId="0" applyNumberFormat="1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center" vertical="center"/>
    </xf>
    <xf numFmtId="14" fontId="10" fillId="2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14" fontId="16" fillId="0" borderId="0" xfId="0" applyNumberFormat="1" applyFont="1" applyBorder="1" applyAlignment="1">
      <alignment horizontal="center" vertical="center"/>
    </xf>
    <xf numFmtId="166" fontId="16" fillId="0" borderId="0" xfId="0" applyNumberFormat="1" applyFont="1" applyBorder="1" applyAlignment="1">
      <alignment horizontal="center" vertical="center"/>
    </xf>
    <xf numFmtId="14" fontId="18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4" fillId="2" borderId="34" xfId="0" applyFont="1" applyFill="1" applyBorder="1" applyAlignment="1">
      <alignment horizontal="left" vertical="center" indent="1"/>
    </xf>
    <xf numFmtId="0" fontId="4" fillId="2" borderId="35" xfId="0" applyFont="1" applyFill="1" applyBorder="1" applyAlignment="1">
      <alignment horizontal="left" vertical="center" indent="1"/>
    </xf>
    <xf numFmtId="0" fontId="4" fillId="2" borderId="36" xfId="0" applyFont="1" applyFill="1" applyBorder="1" applyAlignment="1">
      <alignment horizontal="left" vertical="center" indent="1"/>
    </xf>
    <xf numFmtId="0" fontId="4" fillId="2" borderId="37" xfId="0" applyFont="1" applyFill="1" applyBorder="1" applyAlignment="1">
      <alignment horizontal="left" vertical="center" indent="1"/>
    </xf>
    <xf numFmtId="0" fontId="4" fillId="2" borderId="38" xfId="0" applyFont="1" applyFill="1" applyBorder="1" applyAlignment="1">
      <alignment horizontal="left" vertical="center" indent="1"/>
    </xf>
    <xf numFmtId="0" fontId="4" fillId="2" borderId="39" xfId="0" applyFont="1" applyFill="1" applyBorder="1" applyAlignment="1">
      <alignment horizontal="left" vertical="center" indent="1"/>
    </xf>
    <xf numFmtId="0" fontId="11" fillId="5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right" vertical="center" indent="1"/>
    </xf>
    <xf numFmtId="0" fontId="27" fillId="2" borderId="28" xfId="1" applyFont="1" applyFill="1" applyBorder="1" applyAlignment="1">
      <alignment horizontal="center" vertical="center" wrapText="1"/>
    </xf>
    <xf numFmtId="0" fontId="28" fillId="2" borderId="29" xfId="1" applyFont="1" applyFill="1" applyBorder="1" applyAlignment="1">
      <alignment horizontal="center" vertical="center" wrapText="1"/>
    </xf>
    <xf numFmtId="0" fontId="28" fillId="2" borderId="30" xfId="1" applyFont="1" applyFill="1" applyBorder="1" applyAlignment="1">
      <alignment horizontal="center" vertical="center" wrapText="1"/>
    </xf>
    <xf numFmtId="0" fontId="28" fillId="2" borderId="31" xfId="1" applyFont="1" applyFill="1" applyBorder="1" applyAlignment="1">
      <alignment horizontal="center" vertical="center" wrapText="1"/>
    </xf>
    <xf numFmtId="0" fontId="28" fillId="2" borderId="32" xfId="1" applyFont="1" applyFill="1" applyBorder="1" applyAlignment="1">
      <alignment horizontal="center" vertical="center" wrapText="1"/>
    </xf>
    <xf numFmtId="0" fontId="28" fillId="2" borderId="33" xfId="1" applyFont="1" applyFill="1" applyBorder="1" applyAlignment="1">
      <alignment horizontal="center" vertical="center" wrapText="1"/>
    </xf>
    <xf numFmtId="0" fontId="27" fillId="2" borderId="28" xfId="1" applyFont="1" applyFill="1" applyBorder="1" applyAlignment="1">
      <alignment horizontal="center" vertical="center"/>
    </xf>
    <xf numFmtId="0" fontId="29" fillId="2" borderId="29" xfId="1" applyFont="1" applyFill="1" applyBorder="1" applyAlignment="1">
      <alignment horizontal="center" vertical="center"/>
    </xf>
    <xf numFmtId="0" fontId="29" fillId="2" borderId="30" xfId="1" applyFont="1" applyFill="1" applyBorder="1" applyAlignment="1">
      <alignment horizontal="center" vertical="center"/>
    </xf>
    <xf numFmtId="0" fontId="29" fillId="2" borderId="31" xfId="1" applyFont="1" applyFill="1" applyBorder="1" applyAlignment="1">
      <alignment horizontal="center" vertical="center"/>
    </xf>
    <xf numFmtId="0" fontId="29" fillId="2" borderId="32" xfId="1" applyFont="1" applyFill="1" applyBorder="1" applyAlignment="1">
      <alignment horizontal="center" vertical="center"/>
    </xf>
    <xf numFmtId="0" fontId="29" fillId="2" borderId="33" xfId="1" applyFont="1" applyFill="1" applyBorder="1" applyAlignment="1">
      <alignment horizontal="center" vertical="center"/>
    </xf>
    <xf numFmtId="0" fontId="27" fillId="2" borderId="28" xfId="0" applyNumberFormat="1" applyFont="1" applyFill="1" applyBorder="1" applyAlignment="1">
      <alignment horizontal="center" vertical="center"/>
    </xf>
    <xf numFmtId="0" fontId="27" fillId="2" borderId="29" xfId="0" applyNumberFormat="1" applyFont="1" applyFill="1" applyBorder="1" applyAlignment="1">
      <alignment horizontal="center" vertical="center"/>
    </xf>
    <xf numFmtId="0" fontId="27" fillId="2" borderId="30" xfId="0" applyNumberFormat="1" applyFont="1" applyFill="1" applyBorder="1" applyAlignment="1">
      <alignment horizontal="center" vertical="center"/>
    </xf>
    <xf numFmtId="0" fontId="27" fillId="2" borderId="31" xfId="0" applyNumberFormat="1" applyFont="1" applyFill="1" applyBorder="1" applyAlignment="1">
      <alignment horizontal="center" vertical="center"/>
    </xf>
    <xf numFmtId="0" fontId="27" fillId="2" borderId="32" xfId="0" applyNumberFormat="1" applyFont="1" applyFill="1" applyBorder="1" applyAlignment="1">
      <alignment horizontal="center" vertical="center"/>
    </xf>
    <xf numFmtId="0" fontId="27" fillId="2" borderId="33" xfId="0" applyNumberFormat="1" applyFont="1" applyFill="1" applyBorder="1" applyAlignment="1">
      <alignment horizontal="center" vertical="center"/>
    </xf>
    <xf numFmtId="0" fontId="27" fillId="2" borderId="46" xfId="0" applyFont="1" applyFill="1" applyBorder="1" applyAlignment="1">
      <alignment horizontal="center" vertical="center"/>
    </xf>
    <xf numFmtId="0" fontId="27" fillId="2" borderId="47" xfId="0" applyFont="1" applyFill="1" applyBorder="1" applyAlignment="1">
      <alignment horizontal="center" vertical="center"/>
    </xf>
    <xf numFmtId="0" fontId="24" fillId="0" borderId="0" xfId="1" applyFont="1" applyBorder="1" applyAlignment="1">
      <alignment horizontal="left" vertical="center" wrapText="1" indent="1"/>
    </xf>
    <xf numFmtId="0" fontId="25" fillId="2" borderId="28" xfId="0" applyNumberFormat="1" applyFont="1" applyFill="1" applyBorder="1" applyAlignment="1">
      <alignment horizontal="center" vertical="center"/>
    </xf>
    <xf numFmtId="0" fontId="25" fillId="2" borderId="29" xfId="0" applyNumberFormat="1" applyFont="1" applyFill="1" applyBorder="1" applyAlignment="1">
      <alignment horizontal="center" vertical="center"/>
    </xf>
    <xf numFmtId="0" fontId="25" fillId="2" borderId="30" xfId="0" applyNumberFormat="1" applyFont="1" applyFill="1" applyBorder="1" applyAlignment="1">
      <alignment horizontal="center" vertical="center"/>
    </xf>
    <xf numFmtId="0" fontId="25" fillId="2" borderId="31" xfId="0" applyNumberFormat="1" applyFont="1" applyFill="1" applyBorder="1" applyAlignment="1">
      <alignment horizontal="center" vertical="center"/>
    </xf>
    <xf numFmtId="0" fontId="25" fillId="2" borderId="32" xfId="0" applyNumberFormat="1" applyFont="1" applyFill="1" applyBorder="1" applyAlignment="1">
      <alignment horizontal="center" vertical="center"/>
    </xf>
    <xf numFmtId="0" fontId="25" fillId="2" borderId="33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 customBuiltin="1"/>
    <cellStyle name="Title" xfId="1" builtinId="15" customBuiltin="1"/>
  </cellStyles>
  <dxfs count="55"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8"/>
        </patternFill>
      </fill>
    </dxf>
    <dxf>
      <font>
        <color theme="3" tint="-0.24994659260841701"/>
      </font>
      <fill>
        <patternFill>
          <bgColor theme="4"/>
        </patternFill>
      </fill>
    </dxf>
    <dxf>
      <font>
        <b/>
        <i val="0"/>
        <color rgb="FF0070C0"/>
      </font>
    </dxf>
    <dxf>
      <font>
        <color theme="2" tint="-0.24994659260841701"/>
      </font>
    </dxf>
    <dxf>
      <font>
        <color theme="0" tint="-0.14996795556505021"/>
      </font>
      <numFmt numFmtId="171" formatCode=";;;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indexed="39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70" formatCode="yyyy/mm/dd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70" formatCode="yyyy/mm/dd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70" formatCode="yyyy/mm/dd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</dxf>
    <dxf>
      <font>
        <b val="0"/>
        <i val="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3"/>
        </patternFill>
      </fill>
      <border>
        <vertical/>
      </border>
    </dxf>
    <dxf>
      <font>
        <color theme="3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3" tint="0.39994506668294322"/>
        </vertical>
        <horizontal/>
      </border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</border>
    </dxf>
    <dxf>
      <fill>
        <patternFill patternType="solid">
          <fgColor theme="0" tint="-0.14996795556505021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  <vertical style="thin">
          <color theme="1" tint="0.34998626667073579"/>
        </vertical>
      </border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vertical style="thin">
          <color theme="1" tint="0.34998626667073579"/>
        </vertical>
      </border>
    </dxf>
  </dxfs>
  <tableStyles count="3" defaultTableStyle="Table Style 1" defaultPivotStyle="Leave Report">
    <tableStyle name="Leave Report" table="0" count="13">
      <tableStyleElement type="wholeTable" dxfId="54"/>
      <tableStyleElement type="headerRow" dxfId="53"/>
      <tableStyleElement type="totalRow" dxfId="52"/>
      <tableStyleElement type="firstRowStripe" dxfId="51"/>
      <tableStyleElement type="firstColumnStripe" dxfId="50"/>
      <tableStyleElement type="firstSubtotalColumn" dxfId="49"/>
      <tableStyleElement type="firstSubtotalRow" dxfId="48"/>
      <tableStyleElement type="secondSubtotalRow" dxfId="47"/>
      <tableStyleElement type="firstRowSubheading" dxfId="46"/>
      <tableStyleElement type="secondRowSubheading" dxfId="45"/>
      <tableStyleElement type="thirdRowSubheading" dxfId="44"/>
      <tableStyleElement type="pageFieldLabels" dxfId="43"/>
      <tableStyleElement type="pageFieldValues" dxfId="42"/>
    </tableStyle>
    <tableStyle name="Table Style 1" pivot="0" count="5">
      <tableStyleElement type="wholeTable" dxfId="41"/>
      <tableStyleElement type="headerRow" dxfId="40"/>
      <tableStyleElement type="firstColumn" dxfId="39"/>
      <tableStyleElement type="firstRowStripe" dxfId="38"/>
      <tableStyleElement type="firstHeaderCell" dxfId="37"/>
    </tableStyle>
    <tableStyle name="Table Style 2" pivot="0" count="0"/>
  </tableStyles>
  <colors>
    <mruColors>
      <color rgb="FFFF3399"/>
      <color rgb="FFFF66FF"/>
      <color rgb="FFFF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Employee Leave Tracker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Employee Leave Tracker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Settings!A1"/><Relationship Id="rId1" Type="http://schemas.openxmlformats.org/officeDocument/2006/relationships/hyperlink" Target="#'Calendar View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Employee Leave Tracker'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0</xdr:row>
      <xdr:rowOff>77066</xdr:rowOff>
    </xdr:from>
    <xdr:to>
      <xdr:col>49</xdr:col>
      <xdr:colOff>9525</xdr:colOff>
      <xdr:row>0</xdr:row>
      <xdr:rowOff>333226</xdr:rowOff>
    </xdr:to>
    <xdr:sp macro="" textlink="">
      <xdr:nvSpPr>
        <xdr:cNvPr id="48" name="Track Attendance" descr="Click to view the Employee Leave Tracker sheet." title="Employee Leave">
          <a:hlinkClick xmlns:r="http://schemas.openxmlformats.org/officeDocument/2006/relationships" r:id="rId1" tooltip="Click to view the Employee Leave Tracker sheet"/>
        </xdr:cNvPr>
        <xdr:cNvSpPr txBox="1"/>
      </xdr:nvSpPr>
      <xdr:spPr>
        <a:xfrm>
          <a:off x="9277350" y="77066"/>
          <a:ext cx="2390775" cy="25616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</a:rPr>
            <a:t>Employee</a:t>
          </a:r>
          <a:r>
            <a:rPr lang="en-US" sz="1100" b="0" baseline="0">
              <a:solidFill>
                <a:schemeClr val="bg1"/>
              </a:solidFill>
              <a:latin typeface="+mn-lt"/>
            </a:rPr>
            <a:t> </a:t>
          </a:r>
          <a:r>
            <a:rPr lang="en-US" sz="1100" b="0">
              <a:solidFill>
                <a:schemeClr val="bg1"/>
              </a:solidFill>
              <a:latin typeface="+mn-lt"/>
            </a:rPr>
            <a:t>Leave</a:t>
          </a:r>
          <a:r>
            <a:rPr lang="en-US" sz="1100" b="0">
              <a:solidFill>
                <a:schemeClr val="bg1"/>
              </a:solidFill>
              <a:latin typeface="+mn-lt"/>
              <a:sym typeface="Webdings"/>
            </a:rPr>
            <a:t></a:t>
          </a:r>
          <a:endParaRPr lang="en-US" sz="1100" b="0">
            <a:solidFill>
              <a:schemeClr val="bg1"/>
            </a:solidFill>
            <a:latin typeface="+mn-lt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19048</xdr:colOff>
      <xdr:row>0</xdr:row>
      <xdr:rowOff>270261</xdr:rowOff>
    </xdr:from>
    <xdr:to>
      <xdr:col>30</xdr:col>
      <xdr:colOff>8658</xdr:colOff>
      <xdr:row>3</xdr:row>
      <xdr:rowOff>19050</xdr:rowOff>
    </xdr:to>
    <xdr:sp macro="" textlink="">
      <xdr:nvSpPr>
        <xdr:cNvPr id="2" name="Track Attendance" descr="Click to view the Employee Leave Tracker sheet." title="Employee Leave">
          <a:hlinkClick xmlns:r="http://schemas.openxmlformats.org/officeDocument/2006/relationships" r:id="rId1" tooltip="Click to view the Employee Leave Tracker sheet"/>
        </xdr:cNvPr>
        <xdr:cNvSpPr txBox="1"/>
      </xdr:nvSpPr>
      <xdr:spPr>
        <a:xfrm rot="10800000" flipV="1">
          <a:off x="7915273" y="270261"/>
          <a:ext cx="2123210" cy="282189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</a:rPr>
            <a:t>Employee</a:t>
          </a:r>
          <a:r>
            <a:rPr lang="en-US" sz="1100" b="0" baseline="0">
              <a:solidFill>
                <a:schemeClr val="bg1"/>
              </a:solidFill>
              <a:latin typeface="+mn-lt"/>
            </a:rPr>
            <a:t> </a:t>
          </a:r>
          <a:r>
            <a:rPr lang="en-US" sz="1100" b="0">
              <a:solidFill>
                <a:schemeClr val="bg1"/>
              </a:solidFill>
              <a:latin typeface="+mn-lt"/>
            </a:rPr>
            <a:t>Leave</a:t>
          </a:r>
          <a:r>
            <a:rPr lang="en-US" sz="1100" b="0">
              <a:solidFill>
                <a:schemeClr val="bg1"/>
              </a:solidFill>
              <a:latin typeface="+mn-lt"/>
              <a:sym typeface="Webdings"/>
            </a:rPr>
            <a:t></a:t>
          </a:r>
          <a:endParaRPr lang="en-US" sz="1100" b="0">
            <a:solidFill>
              <a:schemeClr val="bg1"/>
            </a:solidFill>
            <a:latin typeface="+mn-lt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190500</xdr:rowOff>
    </xdr:from>
    <xdr:to>
      <xdr:col>2</xdr:col>
      <xdr:colOff>790956</xdr:colOff>
      <xdr:row>0</xdr:row>
      <xdr:rowOff>446660</xdr:rowOff>
    </xdr:to>
    <xdr:sp macro="" textlink="">
      <xdr:nvSpPr>
        <xdr:cNvPr id="7" name="Back to Calendar View" descr="Click to view the Calendar View sheet." title="Back to Calendar View">
          <a:hlinkClick xmlns:r="http://schemas.openxmlformats.org/officeDocument/2006/relationships" r:id="rId1" tooltip="Click to view the Calendar View sheet"/>
        </xdr:cNvPr>
        <xdr:cNvSpPr txBox="1"/>
      </xdr:nvSpPr>
      <xdr:spPr>
        <a:xfrm>
          <a:off x="228600" y="190500"/>
          <a:ext cx="2505456" cy="25616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  <a:sym typeface="Webdings"/>
            </a:rPr>
            <a:t></a:t>
          </a:r>
          <a:r>
            <a:rPr lang="en-US" sz="1100" b="0">
              <a:solidFill>
                <a:schemeClr val="bg1"/>
              </a:solidFill>
              <a:latin typeface="+mn-lt"/>
            </a:rPr>
            <a:t>Back to Calendar View</a:t>
          </a:r>
        </a:p>
      </xdr:txBody>
    </xdr:sp>
    <xdr:clientData fPrintsWithSheet="0"/>
  </xdr:twoCellAnchor>
  <xdr:twoCellAnchor>
    <xdr:from>
      <xdr:col>3</xdr:col>
      <xdr:colOff>695326</xdr:colOff>
      <xdr:row>0</xdr:row>
      <xdr:rowOff>190500</xdr:rowOff>
    </xdr:from>
    <xdr:to>
      <xdr:col>6</xdr:col>
      <xdr:colOff>66675</xdr:colOff>
      <xdr:row>0</xdr:row>
      <xdr:rowOff>448391</xdr:rowOff>
    </xdr:to>
    <xdr:sp macro="" textlink="">
      <xdr:nvSpPr>
        <xdr:cNvPr id="8" name="Modify Settings" descr="Click to view the Settings sheet." title="Modify Settings">
          <a:hlinkClick xmlns:r="http://schemas.openxmlformats.org/officeDocument/2006/relationships" r:id="rId2" tooltip="Click to view the Settings sheet"/>
        </xdr:cNvPr>
        <xdr:cNvSpPr txBox="1"/>
      </xdr:nvSpPr>
      <xdr:spPr>
        <a:xfrm>
          <a:off x="3790951" y="190500"/>
          <a:ext cx="2905124" cy="257891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</a:rPr>
            <a:t>Modify Settings</a:t>
          </a:r>
          <a:r>
            <a:rPr lang="en-US" sz="1100" b="0">
              <a:solidFill>
                <a:schemeClr val="bg1"/>
              </a:solidFill>
              <a:latin typeface="+mn-lt"/>
              <a:sym typeface="Webdings"/>
            </a:rPr>
            <a:t></a:t>
          </a:r>
          <a:endParaRPr lang="en-US" sz="1100" b="0">
            <a:solidFill>
              <a:schemeClr val="bg1"/>
            </a:solidFill>
            <a:latin typeface="+mn-lt"/>
          </a:endParaRPr>
        </a:p>
      </xdr:txBody>
    </xdr:sp>
    <xdr:clientData fPrintsWithSheet="0"/>
  </xdr:twoCellAnchor>
  <xdr:twoCellAnchor>
    <xdr:from>
      <xdr:col>2</xdr:col>
      <xdr:colOff>1114424</xdr:colOff>
      <xdr:row>0</xdr:row>
      <xdr:rowOff>503745</xdr:rowOff>
    </xdr:from>
    <xdr:to>
      <xdr:col>7</xdr:col>
      <xdr:colOff>9524</xdr:colOff>
      <xdr:row>0</xdr:row>
      <xdr:rowOff>647700</xdr:rowOff>
    </xdr:to>
    <xdr:sp macro="" textlink="">
      <xdr:nvSpPr>
        <xdr:cNvPr id="5" name="Settings Note" descr="Add Employees, Company Holidays, &amp; Leave Types." title="Modify Settings tip"/>
        <xdr:cNvSpPr txBox="1"/>
      </xdr:nvSpPr>
      <xdr:spPr>
        <a:xfrm>
          <a:off x="3057524" y="503745"/>
          <a:ext cx="3248025" cy="143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r"/>
          <a:r>
            <a:rPr lang="en-US" sz="80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ADD EMPLOYEES, COMPANY HOLIDAYS, &amp;</a:t>
          </a:r>
          <a:r>
            <a:rPr lang="en-US" sz="800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 LEAVE </a:t>
          </a:r>
          <a:r>
            <a:rPr lang="en-US" sz="80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TYPES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190500</xdr:rowOff>
    </xdr:from>
    <xdr:to>
      <xdr:col>3</xdr:col>
      <xdr:colOff>533400</xdr:colOff>
      <xdr:row>0</xdr:row>
      <xdr:rowOff>448391</xdr:rowOff>
    </xdr:to>
    <xdr:sp macro="" textlink="">
      <xdr:nvSpPr>
        <xdr:cNvPr id="2" name="Back to Attendance Tracker" descr="Click to view the Employee Leave Tracker sheet." title="Back to Attendance Tracker">
          <a:hlinkClick xmlns:r="http://schemas.openxmlformats.org/officeDocument/2006/relationships" r:id="rId1" tooltip="Click to view the Employee Leave Tracker sheet"/>
        </xdr:cNvPr>
        <xdr:cNvSpPr txBox="1"/>
      </xdr:nvSpPr>
      <xdr:spPr>
        <a:xfrm>
          <a:off x="228600" y="190500"/>
          <a:ext cx="2514600" cy="257891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  <a:sym typeface="Webdings"/>
            </a:rPr>
            <a:t></a:t>
          </a:r>
          <a:r>
            <a:rPr lang="en-US" sz="1100" b="0">
              <a:solidFill>
                <a:schemeClr val="bg1"/>
              </a:solidFill>
              <a:latin typeface="+mn-lt"/>
            </a:rPr>
            <a:t>Back to Leave Tracker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3</xdr:col>
          <xdr:colOff>371475</xdr:colOff>
          <xdr:row>4</xdr:row>
          <xdr:rowOff>38100</xdr:rowOff>
        </xdr:to>
        <xdr:sp macro="" textlink="">
          <xdr:nvSpPr>
            <xdr:cNvPr id="6150" name="ShowMyDirectsLeave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2</xdr:row>
          <xdr:rowOff>152400</xdr:rowOff>
        </xdr:from>
        <xdr:to>
          <xdr:col>9</xdr:col>
          <xdr:colOff>28575</xdr:colOff>
          <xdr:row>4</xdr:row>
          <xdr:rowOff>28575</xdr:rowOff>
        </xdr:to>
        <xdr:sp macro="" textlink="">
          <xdr:nvSpPr>
            <xdr:cNvPr id="6151" name="Show_All_Leave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tilities%20Under%20Modification\Employee%20Vacation%20Calender\Team%20Leave%20Calend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blLeave" displayName="tblLeave" ref="B3:G4" headerRowDxfId="36" dataDxfId="35" totalsRowDxfId="34">
  <autoFilter ref="B3:G4"/>
  <sortState ref="B4:G68">
    <sortCondition ref="B3"/>
  </sortState>
  <tableColumns count="6">
    <tableColumn id="1" name="Employee Name" totalsRowLabel="Total" dataDxfId="33"/>
    <tableColumn id="2" name="Start Date" dataDxfId="32"/>
    <tableColumn id="3" name="End Date" dataDxfId="31"/>
    <tableColumn id="8" name="Leave Applied On" dataDxfId="30"/>
    <tableColumn id="4" name="Type of Leave" dataDxfId="29"/>
    <tableColumn id="5" name="Days" totalsRowFunction="sum" dataDxfId="28"/>
  </tableColumns>
  <tableStyleInfo name="Table Style 1" showFirstColumn="1" showLastColumn="0" showRowStripes="1" showColumnStripes="0"/>
  <extLst>
    <ext xmlns:x14="http://schemas.microsoft.com/office/spreadsheetml/2009/9/main" uri="{504A1905-F514-4f6f-8877-14C23A59335A}">
      <x14:table altText="Employee Leave Tracker" altTextSummary="List of dates and leave type for each employee."/>
    </ext>
  </extLst>
</table>
</file>

<file path=xl/tables/table2.xml><?xml version="1.0" encoding="utf-8"?>
<table xmlns="http://schemas.openxmlformats.org/spreadsheetml/2006/main" id="2" name="tblLeaveTypes" displayName="tblLeaveTypes" ref="D3:E8" totalsRowShown="0" headerRowDxfId="27" dataDxfId="26">
  <tableColumns count="2">
    <tableColumn id="1" name="Type of Leave" dataDxfId="25"/>
    <tableColumn id="2" name="Leave Color " dataDxfId="24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Type of Leave" altTextSummary="List of employee absence types such as Sick Leave, Vacation, Bereavement, and Other. "/>
    </ext>
  </extLst>
</table>
</file>

<file path=xl/tables/table3.xml><?xml version="1.0" encoding="utf-8"?>
<table xmlns="http://schemas.openxmlformats.org/spreadsheetml/2006/main" id="3" name="tblCompanyHolidays" displayName="tblCompanyHolidays" ref="G3:H10" totalsRowShown="0" headerRowDxfId="23" dataDxfId="22">
  <tableColumns count="2">
    <tableColumn id="1" name="Company Holidays" dataDxfId="21"/>
    <tableColumn id="2" name="Description" dataDxfId="20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Company Holidays" altTextSummary="List of company holiday dates and holiday description."/>
    </ext>
  </extLst>
</table>
</file>

<file path=xl/tables/table4.xml><?xml version="1.0" encoding="utf-8"?>
<table xmlns="http://schemas.openxmlformats.org/spreadsheetml/2006/main" id="4" name="tblEmployees" displayName="tblEmployees" ref="B3:B41" totalsRowShown="0" headerRowDxfId="19" dataDxfId="18">
  <sortState ref="B4:B21">
    <sortCondition ref="B4:B21"/>
  </sortState>
  <tableColumns count="1">
    <tableColumn id="1" name="List of Employees" dataDxfId="17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List of Employees" altTextSummary="Employee names"/>
    </ext>
  </extLst>
</table>
</file>

<file path=xl/tables/table5.xml><?xml version="1.0" encoding="utf-8"?>
<table xmlns="http://schemas.openxmlformats.org/spreadsheetml/2006/main" id="5" name="Table5" displayName="Table5" ref="J3:K4" insertRow="1" totalsRowShown="0">
  <autoFilter ref="J3:K4"/>
  <tableColumns count="2">
    <tableColumn id="1" name="Project Name"/>
    <tableColumn id="2" name="Project Owner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B5:I6" insertRow="1" totalsRowShown="0" headerRowDxfId="16">
  <autoFilter ref="B5:I6"/>
  <tableColumns count="8">
    <tableColumn id="22" name="Employee Name" dataDxfId="15" dataCellStyle="Hyperlink"/>
    <tableColumn id="23" name="Leave Start Date" dataDxfId="14"/>
    <tableColumn id="24" name="Leave End Date" dataDxfId="13"/>
    <tableColumn id="25" name="Leave Applied On" dataDxfId="12"/>
    <tableColumn id="26" name="Type of Leave" dataDxfId="11"/>
    <tableColumn id="27" name="Days" dataDxfId="10"/>
    <tableColumn id="28" name="Manager's Comments(If Any)" dataDxfId="9"/>
    <tableColumn id="29" name="Approval Status" dataDxfId="8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Employee Attendance Tracker">
  <a:themeElements>
    <a:clrScheme name="Custom 3">
      <a:dk1>
        <a:sysClr val="windowText" lastClr="000000"/>
      </a:dk1>
      <a:lt1>
        <a:sysClr val="window" lastClr="FFFFFF"/>
      </a:lt1>
      <a:dk2>
        <a:srgbClr val="36384E"/>
      </a:dk2>
      <a:lt2>
        <a:srgbClr val="E6E6E6"/>
      </a:lt2>
      <a:accent1>
        <a:srgbClr val="8BBEDD"/>
      </a:accent1>
      <a:accent2>
        <a:srgbClr val="53B9B4"/>
      </a:accent2>
      <a:accent3>
        <a:srgbClr val="9FD179"/>
      </a:accent3>
      <a:accent4>
        <a:srgbClr val="F6E166"/>
      </a:accent4>
      <a:accent5>
        <a:srgbClr val="F9A755"/>
      </a:accent5>
      <a:accent6>
        <a:srgbClr val="ED7669"/>
      </a:accent6>
      <a:hlink>
        <a:srgbClr val="0000FF"/>
      </a:hlink>
      <a:folHlink>
        <a:srgbClr val="800080"/>
      </a:folHlink>
    </a:clrScheme>
    <a:fontScheme name="67 employee attendance tracker">
      <a:majorFont>
        <a:latin typeface="Bookman Old Style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3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Relationship Id="rId9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  <pageSetUpPr fitToPage="1"/>
  </sheetPr>
  <dimension ref="A1:AY34"/>
  <sheetViews>
    <sheetView showGridLines="0" showRowColHeaders="0" zoomScaleNormal="100" workbookViewId="0">
      <selection activeCell="AN5" sqref="AN5:AW6"/>
    </sheetView>
  </sheetViews>
  <sheetFormatPr defaultRowHeight="15" x14ac:dyDescent="0.3"/>
  <cols>
    <col min="1" max="1" width="2.28515625" customWidth="1"/>
    <col min="2" max="2" width="3.28515625" customWidth="1"/>
    <col min="3" max="10" width="3.5703125" customWidth="1"/>
    <col min="11" max="11" width="4" customWidth="1"/>
    <col min="12" max="49" width="3.5703125" customWidth="1"/>
    <col min="50" max="50" width="2.28515625" customWidth="1"/>
  </cols>
  <sheetData>
    <row r="1" spans="1:49" ht="27.75" customHeight="1" x14ac:dyDescent="0.3"/>
    <row r="2" spans="1:49" ht="11.25" customHeight="1" thickBot="1" x14ac:dyDescent="0.35">
      <c r="A2" s="4"/>
      <c r="B2" s="119" t="s">
        <v>31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</row>
    <row r="3" spans="1:49" ht="11.25" customHeight="1" x14ac:dyDescent="0.3">
      <c r="A3" s="4"/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4"/>
      <c r="AE3" s="150" t="s">
        <v>26</v>
      </c>
      <c r="AF3" s="150"/>
      <c r="AG3" s="150"/>
      <c r="AH3" s="150"/>
      <c r="AI3" s="150"/>
      <c r="AJ3" s="150"/>
      <c r="AK3" s="150"/>
      <c r="AL3" s="150"/>
      <c r="AM3" s="150"/>
      <c r="AN3" s="142" t="s">
        <v>57</v>
      </c>
      <c r="AO3" s="143"/>
      <c r="AP3" s="143"/>
      <c r="AQ3" s="143"/>
      <c r="AR3" s="143"/>
      <c r="AS3" s="143"/>
      <c r="AT3" s="143"/>
      <c r="AU3" s="143"/>
      <c r="AV3" s="143"/>
      <c r="AW3" s="144"/>
    </row>
    <row r="4" spans="1:49" ht="15" customHeight="1" thickBot="1" x14ac:dyDescent="0.35">
      <c r="A4" s="4"/>
      <c r="B4" s="119"/>
      <c r="C4" s="120"/>
      <c r="D4" s="120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19"/>
      <c r="AD4" s="4"/>
      <c r="AE4" s="150"/>
      <c r="AF4" s="150"/>
      <c r="AG4" s="150"/>
      <c r="AH4" s="150"/>
      <c r="AI4" s="150"/>
      <c r="AJ4" s="150"/>
      <c r="AK4" s="150"/>
      <c r="AL4" s="150"/>
      <c r="AM4" s="150"/>
      <c r="AN4" s="145"/>
      <c r="AO4" s="146"/>
      <c r="AP4" s="146"/>
      <c r="AQ4" s="146"/>
      <c r="AR4" s="146"/>
      <c r="AS4" s="146"/>
      <c r="AT4" s="146"/>
      <c r="AU4" s="146"/>
      <c r="AV4" s="146"/>
      <c r="AW4" s="147"/>
    </row>
    <row r="5" spans="1:49" ht="13.5" customHeight="1" x14ac:dyDescent="0.3">
      <c r="A5" s="4"/>
      <c r="B5" s="119"/>
      <c r="C5" s="120"/>
      <c r="D5" s="120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4"/>
      <c r="AE5" s="150" t="s">
        <v>27</v>
      </c>
      <c r="AF5" s="150"/>
      <c r="AG5" s="150"/>
      <c r="AH5" s="150"/>
      <c r="AI5" s="150"/>
      <c r="AJ5" s="150"/>
      <c r="AK5" s="150"/>
      <c r="AL5" s="150"/>
      <c r="AM5" s="150"/>
      <c r="AN5" s="142">
        <v>2017</v>
      </c>
      <c r="AO5" s="143"/>
      <c r="AP5" s="143"/>
      <c r="AQ5" s="143"/>
      <c r="AR5" s="143"/>
      <c r="AS5" s="143"/>
      <c r="AT5" s="143"/>
      <c r="AU5" s="143"/>
      <c r="AV5" s="143"/>
      <c r="AW5" s="144"/>
    </row>
    <row r="6" spans="1:49" ht="11.25" customHeight="1" thickBot="1" x14ac:dyDescent="0.35">
      <c r="A6" s="4"/>
      <c r="B6" s="119"/>
      <c r="C6" s="120"/>
      <c r="D6" s="120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4"/>
      <c r="AE6" s="150"/>
      <c r="AF6" s="150"/>
      <c r="AG6" s="150"/>
      <c r="AH6" s="150"/>
      <c r="AI6" s="150"/>
      <c r="AJ6" s="150"/>
      <c r="AK6" s="150"/>
      <c r="AL6" s="150"/>
      <c r="AM6" s="150"/>
      <c r="AN6" s="145"/>
      <c r="AO6" s="146"/>
      <c r="AP6" s="146"/>
      <c r="AQ6" s="146"/>
      <c r="AR6" s="146"/>
      <c r="AS6" s="146"/>
      <c r="AT6" s="146"/>
      <c r="AU6" s="146"/>
      <c r="AV6" s="146"/>
      <c r="AW6" s="147"/>
    </row>
    <row r="7" spans="1:49" ht="11.25" customHeight="1" x14ac:dyDescent="0.3">
      <c r="A7" s="4"/>
      <c r="B7" s="119"/>
      <c r="C7" s="120"/>
      <c r="D7" s="120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</row>
    <row r="8" spans="1:49" ht="16.5" x14ac:dyDescent="0.35">
      <c r="B8" s="22"/>
      <c r="C8" s="108"/>
      <c r="D8" s="108"/>
      <c r="E8" s="23"/>
      <c r="F8" s="23"/>
      <c r="G8" s="23"/>
      <c r="H8" s="24" t="s">
        <v>4</v>
      </c>
      <c r="I8" s="25" t="s">
        <v>5</v>
      </c>
      <c r="J8" s="25" t="s">
        <v>6</v>
      </c>
      <c r="K8" s="25" t="s">
        <v>7</v>
      </c>
      <c r="L8" s="25" t="s">
        <v>6</v>
      </c>
      <c r="M8" s="25" t="s">
        <v>8</v>
      </c>
      <c r="N8" s="26" t="s">
        <v>4</v>
      </c>
      <c r="O8" s="27" t="s">
        <v>4</v>
      </c>
      <c r="P8" s="25" t="s">
        <v>5</v>
      </c>
      <c r="Q8" s="25" t="s">
        <v>6</v>
      </c>
      <c r="R8" s="25" t="s">
        <v>7</v>
      </c>
      <c r="S8" s="25" t="s">
        <v>6</v>
      </c>
      <c r="T8" s="25" t="s">
        <v>8</v>
      </c>
      <c r="U8" s="25" t="s">
        <v>4</v>
      </c>
      <c r="V8" s="25" t="s">
        <v>4</v>
      </c>
      <c r="W8" s="25" t="s">
        <v>5</v>
      </c>
      <c r="X8" s="25" t="s">
        <v>6</v>
      </c>
      <c r="Y8" s="25" t="s">
        <v>7</v>
      </c>
      <c r="Z8" s="25" t="s">
        <v>6</v>
      </c>
      <c r="AA8" s="25" t="s">
        <v>8</v>
      </c>
      <c r="AB8" s="25" t="s">
        <v>4</v>
      </c>
      <c r="AC8" s="25" t="s">
        <v>4</v>
      </c>
      <c r="AD8" s="25" t="s">
        <v>5</v>
      </c>
      <c r="AE8" s="25" t="s">
        <v>6</v>
      </c>
      <c r="AF8" s="25" t="s">
        <v>7</v>
      </c>
      <c r="AG8" s="25" t="s">
        <v>6</v>
      </c>
      <c r="AH8" s="25" t="s">
        <v>8</v>
      </c>
      <c r="AI8" s="25" t="s">
        <v>4</v>
      </c>
      <c r="AJ8" s="25" t="s">
        <v>4</v>
      </c>
      <c r="AK8" s="25" t="s">
        <v>5</v>
      </c>
      <c r="AL8" s="25" t="s">
        <v>6</v>
      </c>
      <c r="AM8" s="25" t="s">
        <v>7</v>
      </c>
      <c r="AN8" s="25" t="s">
        <v>6</v>
      </c>
      <c r="AO8" s="25" t="s">
        <v>8</v>
      </c>
      <c r="AP8" s="25" t="s">
        <v>4</v>
      </c>
      <c r="AQ8" s="25" t="s">
        <v>4</v>
      </c>
      <c r="AR8" s="25" t="s">
        <v>5</v>
      </c>
      <c r="AS8" s="25" t="s">
        <v>6</v>
      </c>
      <c r="AT8" s="25" t="s">
        <v>7</v>
      </c>
      <c r="AU8" s="25" t="s">
        <v>6</v>
      </c>
      <c r="AV8" s="25" t="s">
        <v>8</v>
      </c>
      <c r="AW8" s="28" t="s">
        <v>4</v>
      </c>
    </row>
    <row r="9" spans="1:49" ht="18.75" customHeight="1" x14ac:dyDescent="0.3">
      <c r="B9" s="5"/>
      <c r="C9" s="121">
        <f>DATE($AN$5,ROWS($C$9:C9),1)</f>
        <v>42736</v>
      </c>
      <c r="D9" s="121"/>
      <c r="E9" s="122"/>
      <c r="F9" s="122"/>
      <c r="G9" s="123"/>
      <c r="H9" s="33">
        <f t="array" aca="1" ref="H9:AW9" ca="1">calendar</f>
        <v>42729</v>
      </c>
      <c r="I9" s="34">
        <f ca="1"/>
        <v>42730</v>
      </c>
      <c r="J9" s="34">
        <f ca="1"/>
        <v>42731</v>
      </c>
      <c r="K9" s="34">
        <f ca="1"/>
        <v>42732</v>
      </c>
      <c r="L9" s="34">
        <f ca="1"/>
        <v>42733</v>
      </c>
      <c r="M9" s="34">
        <f ca="1"/>
        <v>42734</v>
      </c>
      <c r="N9" s="35">
        <f ca="1"/>
        <v>42735</v>
      </c>
      <c r="O9" s="33">
        <f ca="1"/>
        <v>42736</v>
      </c>
      <c r="P9" s="34">
        <f ca="1"/>
        <v>42737</v>
      </c>
      <c r="Q9" s="34">
        <f ca="1"/>
        <v>42738</v>
      </c>
      <c r="R9" s="34">
        <f ca="1"/>
        <v>42739</v>
      </c>
      <c r="S9" s="34">
        <f ca="1"/>
        <v>42740</v>
      </c>
      <c r="T9" s="34">
        <f ca="1"/>
        <v>42741</v>
      </c>
      <c r="U9" s="35">
        <f ca="1"/>
        <v>42742</v>
      </c>
      <c r="V9" s="33">
        <f ca="1"/>
        <v>42743</v>
      </c>
      <c r="W9" s="34">
        <f ca="1"/>
        <v>42744</v>
      </c>
      <c r="X9" s="34">
        <f ca="1"/>
        <v>42745</v>
      </c>
      <c r="Y9" s="34">
        <f ca="1"/>
        <v>42746</v>
      </c>
      <c r="Z9" s="34">
        <f ca="1"/>
        <v>42747</v>
      </c>
      <c r="AA9" s="34">
        <f ca="1"/>
        <v>42748</v>
      </c>
      <c r="AB9" s="35">
        <f ca="1"/>
        <v>42749</v>
      </c>
      <c r="AC9" s="33">
        <f ca="1"/>
        <v>42750</v>
      </c>
      <c r="AD9" s="34">
        <f ca="1"/>
        <v>42751</v>
      </c>
      <c r="AE9" s="34">
        <f ca="1"/>
        <v>42752</v>
      </c>
      <c r="AF9" s="34">
        <f ca="1"/>
        <v>42753</v>
      </c>
      <c r="AG9" s="34">
        <f ca="1"/>
        <v>42754</v>
      </c>
      <c r="AH9" s="34">
        <f ca="1"/>
        <v>42755</v>
      </c>
      <c r="AI9" s="35">
        <f ca="1"/>
        <v>42756</v>
      </c>
      <c r="AJ9" s="33">
        <f ca="1"/>
        <v>42757</v>
      </c>
      <c r="AK9" s="34">
        <f ca="1"/>
        <v>42758</v>
      </c>
      <c r="AL9" s="34">
        <f ca="1"/>
        <v>42759</v>
      </c>
      <c r="AM9" s="34">
        <f ca="1"/>
        <v>42760</v>
      </c>
      <c r="AN9" s="34">
        <f ca="1"/>
        <v>42761</v>
      </c>
      <c r="AO9" s="34">
        <f ca="1"/>
        <v>42762</v>
      </c>
      <c r="AP9" s="35">
        <f ca="1"/>
        <v>42763</v>
      </c>
      <c r="AQ9" s="33">
        <f ca="1"/>
        <v>42764</v>
      </c>
      <c r="AR9" s="34">
        <f ca="1"/>
        <v>42765</v>
      </c>
      <c r="AS9" s="34">
        <f ca="1"/>
        <v>42766</v>
      </c>
      <c r="AT9" s="34">
        <f ca="1"/>
        <v>42767</v>
      </c>
      <c r="AU9" s="34">
        <f ca="1"/>
        <v>42768</v>
      </c>
      <c r="AV9" s="34">
        <f ca="1"/>
        <v>42769</v>
      </c>
      <c r="AW9" s="36">
        <f ca="1"/>
        <v>42770</v>
      </c>
    </row>
    <row r="10" spans="1:49" ht="18.75" customHeight="1" x14ac:dyDescent="0.3">
      <c r="B10" s="6"/>
      <c r="C10" s="130">
        <f>DATE($AN$5,ROWS($C$9:C10),1)</f>
        <v>42767</v>
      </c>
      <c r="D10" s="130"/>
      <c r="E10" s="131"/>
      <c r="F10" s="131"/>
      <c r="G10" s="132"/>
      <c r="H10" s="37">
        <f t="array" aca="1" ref="H10:AW10" ca="1">calendar</f>
        <v>42764</v>
      </c>
      <c r="I10" s="38">
        <f ca="1"/>
        <v>42765</v>
      </c>
      <c r="J10" s="38">
        <f ca="1"/>
        <v>42766</v>
      </c>
      <c r="K10" s="38">
        <f ca="1"/>
        <v>42767</v>
      </c>
      <c r="L10" s="38">
        <f ca="1"/>
        <v>42768</v>
      </c>
      <c r="M10" s="38">
        <f ca="1"/>
        <v>42769</v>
      </c>
      <c r="N10" s="39">
        <f ca="1"/>
        <v>42770</v>
      </c>
      <c r="O10" s="37">
        <f ca="1"/>
        <v>42771</v>
      </c>
      <c r="P10" s="38">
        <f ca="1"/>
        <v>42772</v>
      </c>
      <c r="Q10" s="38">
        <f ca="1"/>
        <v>42773</v>
      </c>
      <c r="R10" s="38">
        <f ca="1"/>
        <v>42774</v>
      </c>
      <c r="S10" s="38">
        <f ca="1"/>
        <v>42775</v>
      </c>
      <c r="T10" s="38">
        <f ca="1"/>
        <v>42776</v>
      </c>
      <c r="U10" s="39">
        <f ca="1"/>
        <v>42777</v>
      </c>
      <c r="V10" s="37">
        <f ca="1"/>
        <v>42778</v>
      </c>
      <c r="W10" s="38">
        <f ca="1"/>
        <v>42779</v>
      </c>
      <c r="X10" s="38">
        <f ca="1"/>
        <v>42780</v>
      </c>
      <c r="Y10" s="38">
        <f ca="1"/>
        <v>42781</v>
      </c>
      <c r="Z10" s="38">
        <f ca="1"/>
        <v>42782</v>
      </c>
      <c r="AA10" s="38">
        <f ca="1"/>
        <v>42783</v>
      </c>
      <c r="AB10" s="39">
        <f ca="1"/>
        <v>42784</v>
      </c>
      <c r="AC10" s="37">
        <f ca="1"/>
        <v>42785</v>
      </c>
      <c r="AD10" s="38">
        <f ca="1"/>
        <v>42786</v>
      </c>
      <c r="AE10" s="38">
        <f ca="1"/>
        <v>42787</v>
      </c>
      <c r="AF10" s="38">
        <f ca="1"/>
        <v>42788</v>
      </c>
      <c r="AG10" s="38">
        <f ca="1"/>
        <v>42789</v>
      </c>
      <c r="AH10" s="38">
        <f ca="1"/>
        <v>42790</v>
      </c>
      <c r="AI10" s="39">
        <f ca="1"/>
        <v>42791</v>
      </c>
      <c r="AJ10" s="37">
        <f ca="1"/>
        <v>42792</v>
      </c>
      <c r="AK10" s="38">
        <f ca="1"/>
        <v>42793</v>
      </c>
      <c r="AL10" s="38">
        <f ca="1"/>
        <v>42794</v>
      </c>
      <c r="AM10" s="38">
        <f ca="1"/>
        <v>42795</v>
      </c>
      <c r="AN10" s="38">
        <f ca="1"/>
        <v>42796</v>
      </c>
      <c r="AO10" s="38">
        <f ca="1"/>
        <v>42797</v>
      </c>
      <c r="AP10" s="39">
        <f ca="1"/>
        <v>42798</v>
      </c>
      <c r="AQ10" s="37">
        <f ca="1"/>
        <v>42799</v>
      </c>
      <c r="AR10" s="38">
        <f ca="1"/>
        <v>42800</v>
      </c>
      <c r="AS10" s="38">
        <f ca="1"/>
        <v>42801</v>
      </c>
      <c r="AT10" s="38">
        <f ca="1"/>
        <v>42802</v>
      </c>
      <c r="AU10" s="38">
        <f ca="1"/>
        <v>42803</v>
      </c>
      <c r="AV10" s="38">
        <f ca="1"/>
        <v>42804</v>
      </c>
      <c r="AW10" s="40">
        <f ca="1"/>
        <v>42805</v>
      </c>
    </row>
    <row r="11" spans="1:49" ht="18.75" customHeight="1" x14ac:dyDescent="0.3">
      <c r="B11" s="5"/>
      <c r="C11" s="121">
        <f>DATE($AN$5,ROWS($C$9:C11),1)</f>
        <v>42795</v>
      </c>
      <c r="D11" s="121"/>
      <c r="E11" s="122"/>
      <c r="F11" s="122"/>
      <c r="G11" s="123"/>
      <c r="H11" s="33">
        <f t="array" aca="1" ref="H11:AW11" ca="1">calendar</f>
        <v>42792</v>
      </c>
      <c r="I11" s="34">
        <f ca="1"/>
        <v>42793</v>
      </c>
      <c r="J11" s="34">
        <f ca="1"/>
        <v>42794</v>
      </c>
      <c r="K11" s="34">
        <f ca="1"/>
        <v>42795</v>
      </c>
      <c r="L11" s="34">
        <f ca="1"/>
        <v>42796</v>
      </c>
      <c r="M11" s="34">
        <f ca="1"/>
        <v>42797</v>
      </c>
      <c r="N11" s="35">
        <f ca="1"/>
        <v>42798</v>
      </c>
      <c r="O11" s="33">
        <f ca="1"/>
        <v>42799</v>
      </c>
      <c r="P11" s="34">
        <f ca="1"/>
        <v>42800</v>
      </c>
      <c r="Q11" s="34">
        <f ca="1"/>
        <v>42801</v>
      </c>
      <c r="R11" s="34">
        <f ca="1"/>
        <v>42802</v>
      </c>
      <c r="S11" s="34">
        <f ca="1"/>
        <v>42803</v>
      </c>
      <c r="T11" s="34">
        <f ca="1"/>
        <v>42804</v>
      </c>
      <c r="U11" s="35">
        <f ca="1"/>
        <v>42805</v>
      </c>
      <c r="V11" s="33">
        <f ca="1"/>
        <v>42806</v>
      </c>
      <c r="W11" s="34">
        <f ca="1"/>
        <v>42807</v>
      </c>
      <c r="X11" s="34">
        <f ca="1"/>
        <v>42808</v>
      </c>
      <c r="Y11" s="34">
        <f ca="1"/>
        <v>42809</v>
      </c>
      <c r="Z11" s="34">
        <f ca="1"/>
        <v>42810</v>
      </c>
      <c r="AA11" s="34">
        <f ca="1"/>
        <v>42811</v>
      </c>
      <c r="AB11" s="35">
        <f ca="1"/>
        <v>42812</v>
      </c>
      <c r="AC11" s="33">
        <f ca="1"/>
        <v>42813</v>
      </c>
      <c r="AD11" s="34">
        <f ca="1"/>
        <v>42814</v>
      </c>
      <c r="AE11" s="34">
        <f ca="1"/>
        <v>42815</v>
      </c>
      <c r="AF11" s="34">
        <f ca="1"/>
        <v>42816</v>
      </c>
      <c r="AG11" s="34">
        <f ca="1"/>
        <v>42817</v>
      </c>
      <c r="AH11" s="34">
        <f ca="1"/>
        <v>42818</v>
      </c>
      <c r="AI11" s="35">
        <f ca="1"/>
        <v>42819</v>
      </c>
      <c r="AJ11" s="33">
        <f ca="1"/>
        <v>42820</v>
      </c>
      <c r="AK11" s="34">
        <f ca="1"/>
        <v>42821</v>
      </c>
      <c r="AL11" s="34">
        <f ca="1"/>
        <v>42822</v>
      </c>
      <c r="AM11" s="34">
        <f ca="1"/>
        <v>42823</v>
      </c>
      <c r="AN11" s="34">
        <f ca="1"/>
        <v>42824</v>
      </c>
      <c r="AO11" s="34">
        <f ca="1"/>
        <v>42825</v>
      </c>
      <c r="AP11" s="35">
        <f ca="1"/>
        <v>42826</v>
      </c>
      <c r="AQ11" s="33">
        <f ca="1"/>
        <v>42827</v>
      </c>
      <c r="AR11" s="34">
        <f ca="1"/>
        <v>42828</v>
      </c>
      <c r="AS11" s="34">
        <f ca="1"/>
        <v>42829</v>
      </c>
      <c r="AT11" s="34">
        <f ca="1"/>
        <v>42830</v>
      </c>
      <c r="AU11" s="34">
        <f ca="1"/>
        <v>42831</v>
      </c>
      <c r="AV11" s="34">
        <f ca="1"/>
        <v>42832</v>
      </c>
      <c r="AW11" s="36">
        <f ca="1"/>
        <v>42833</v>
      </c>
    </row>
    <row r="12" spans="1:49" ht="18.75" customHeight="1" x14ac:dyDescent="0.3">
      <c r="B12" s="6"/>
      <c r="C12" s="130">
        <f>DATE($AN$5,ROWS($C$9:C12),1)</f>
        <v>42826</v>
      </c>
      <c r="D12" s="130"/>
      <c r="E12" s="131"/>
      <c r="F12" s="131"/>
      <c r="G12" s="132"/>
      <c r="H12" s="37">
        <f t="array" aca="1" ref="H12:AW12" ca="1">calendar</f>
        <v>42820</v>
      </c>
      <c r="I12" s="38">
        <f ca="1"/>
        <v>42821</v>
      </c>
      <c r="J12" s="38">
        <f ca="1"/>
        <v>42822</v>
      </c>
      <c r="K12" s="38">
        <f ca="1"/>
        <v>42823</v>
      </c>
      <c r="L12" s="38">
        <f ca="1"/>
        <v>42824</v>
      </c>
      <c r="M12" s="38">
        <f ca="1"/>
        <v>42825</v>
      </c>
      <c r="N12" s="39">
        <f ca="1"/>
        <v>42826</v>
      </c>
      <c r="O12" s="37">
        <f ca="1"/>
        <v>42827</v>
      </c>
      <c r="P12" s="38">
        <f ca="1"/>
        <v>42828</v>
      </c>
      <c r="Q12" s="38">
        <f ca="1"/>
        <v>42829</v>
      </c>
      <c r="R12" s="38">
        <f ca="1"/>
        <v>42830</v>
      </c>
      <c r="S12" s="38">
        <f ca="1"/>
        <v>42831</v>
      </c>
      <c r="T12" s="38">
        <f ca="1"/>
        <v>42832</v>
      </c>
      <c r="U12" s="39">
        <f ca="1"/>
        <v>42833</v>
      </c>
      <c r="V12" s="37">
        <f ca="1"/>
        <v>42834</v>
      </c>
      <c r="W12" s="38">
        <f ca="1"/>
        <v>42835</v>
      </c>
      <c r="X12" s="38">
        <f ca="1"/>
        <v>42836</v>
      </c>
      <c r="Y12" s="38">
        <f ca="1"/>
        <v>42837</v>
      </c>
      <c r="Z12" s="38">
        <f ca="1"/>
        <v>42838</v>
      </c>
      <c r="AA12" s="38">
        <f ca="1"/>
        <v>42839</v>
      </c>
      <c r="AB12" s="39">
        <f ca="1"/>
        <v>42840</v>
      </c>
      <c r="AC12" s="37">
        <f ca="1"/>
        <v>42841</v>
      </c>
      <c r="AD12" s="38">
        <f ca="1"/>
        <v>42842</v>
      </c>
      <c r="AE12" s="38">
        <f ca="1"/>
        <v>42843</v>
      </c>
      <c r="AF12" s="38">
        <f ca="1"/>
        <v>42844</v>
      </c>
      <c r="AG12" s="38">
        <f ca="1"/>
        <v>42845</v>
      </c>
      <c r="AH12" s="38">
        <f ca="1"/>
        <v>42846</v>
      </c>
      <c r="AI12" s="39">
        <f ca="1"/>
        <v>42847</v>
      </c>
      <c r="AJ12" s="37">
        <f ca="1"/>
        <v>42848</v>
      </c>
      <c r="AK12" s="38">
        <f ca="1"/>
        <v>42849</v>
      </c>
      <c r="AL12" s="38">
        <f ca="1"/>
        <v>42850</v>
      </c>
      <c r="AM12" s="38">
        <f ca="1"/>
        <v>42851</v>
      </c>
      <c r="AN12" s="38">
        <f ca="1"/>
        <v>42852</v>
      </c>
      <c r="AO12" s="38">
        <f ca="1"/>
        <v>42853</v>
      </c>
      <c r="AP12" s="39">
        <f ca="1"/>
        <v>42854</v>
      </c>
      <c r="AQ12" s="37">
        <f ca="1"/>
        <v>42855</v>
      </c>
      <c r="AR12" s="38">
        <f ca="1"/>
        <v>42856</v>
      </c>
      <c r="AS12" s="38">
        <f ca="1"/>
        <v>42857</v>
      </c>
      <c r="AT12" s="38">
        <f ca="1"/>
        <v>42858</v>
      </c>
      <c r="AU12" s="38">
        <f ca="1"/>
        <v>42859</v>
      </c>
      <c r="AV12" s="38">
        <f ca="1"/>
        <v>42860</v>
      </c>
      <c r="AW12" s="40">
        <f ca="1"/>
        <v>42861</v>
      </c>
    </row>
    <row r="13" spans="1:49" ht="18.75" customHeight="1" x14ac:dyDescent="0.3">
      <c r="B13" s="5"/>
      <c r="C13" s="121">
        <f>DATE($AN$5,ROWS($C$9:C13),1)</f>
        <v>42856</v>
      </c>
      <c r="D13" s="121"/>
      <c r="E13" s="122"/>
      <c r="F13" s="122"/>
      <c r="G13" s="123"/>
      <c r="H13" s="33">
        <f t="array" aca="1" ref="H13:AW13" ca="1">calendar</f>
        <v>42855</v>
      </c>
      <c r="I13" s="34">
        <f ca="1"/>
        <v>42856</v>
      </c>
      <c r="J13" s="34">
        <f ca="1"/>
        <v>42857</v>
      </c>
      <c r="K13" s="34">
        <f ca="1"/>
        <v>42858</v>
      </c>
      <c r="L13" s="34">
        <f ca="1"/>
        <v>42859</v>
      </c>
      <c r="M13" s="34">
        <f ca="1"/>
        <v>42860</v>
      </c>
      <c r="N13" s="35">
        <f ca="1"/>
        <v>42861</v>
      </c>
      <c r="O13" s="54">
        <f ca="1"/>
        <v>42862</v>
      </c>
      <c r="P13" s="34">
        <f ca="1"/>
        <v>42863</v>
      </c>
      <c r="Q13" s="34">
        <f ca="1"/>
        <v>42864</v>
      </c>
      <c r="R13" s="34">
        <f ca="1"/>
        <v>42865</v>
      </c>
      <c r="S13" s="34">
        <f ca="1"/>
        <v>42866</v>
      </c>
      <c r="T13" s="34">
        <f ca="1"/>
        <v>42867</v>
      </c>
      <c r="U13" s="35">
        <f ca="1"/>
        <v>42868</v>
      </c>
      <c r="V13" s="33">
        <f ca="1"/>
        <v>42869</v>
      </c>
      <c r="W13" s="34">
        <f ca="1"/>
        <v>42870</v>
      </c>
      <c r="X13" s="34">
        <f ca="1"/>
        <v>42871</v>
      </c>
      <c r="Y13" s="34">
        <f ca="1"/>
        <v>42872</v>
      </c>
      <c r="Z13" s="34">
        <f ca="1"/>
        <v>42873</v>
      </c>
      <c r="AA13" s="34">
        <f ca="1"/>
        <v>42874</v>
      </c>
      <c r="AB13" s="35">
        <f ca="1"/>
        <v>42875</v>
      </c>
      <c r="AC13" s="33">
        <f ca="1"/>
        <v>42876</v>
      </c>
      <c r="AD13" s="34">
        <f ca="1"/>
        <v>42877</v>
      </c>
      <c r="AE13" s="34">
        <f ca="1"/>
        <v>42878</v>
      </c>
      <c r="AF13" s="34">
        <f ca="1"/>
        <v>42879</v>
      </c>
      <c r="AG13" s="34">
        <f ca="1"/>
        <v>42880</v>
      </c>
      <c r="AH13" s="34">
        <f ca="1"/>
        <v>42881</v>
      </c>
      <c r="AI13" s="35">
        <f ca="1"/>
        <v>42882</v>
      </c>
      <c r="AJ13" s="33">
        <f ca="1"/>
        <v>42883</v>
      </c>
      <c r="AK13" s="34">
        <f ca="1"/>
        <v>42884</v>
      </c>
      <c r="AL13" s="34">
        <f ca="1"/>
        <v>42885</v>
      </c>
      <c r="AM13" s="34">
        <f ca="1"/>
        <v>42886</v>
      </c>
      <c r="AN13" s="34">
        <f ca="1"/>
        <v>42887</v>
      </c>
      <c r="AO13" s="34">
        <f ca="1"/>
        <v>42888</v>
      </c>
      <c r="AP13" s="35">
        <f ca="1"/>
        <v>42889</v>
      </c>
      <c r="AQ13" s="33">
        <f ca="1"/>
        <v>42890</v>
      </c>
      <c r="AR13" s="34">
        <f ca="1"/>
        <v>42891</v>
      </c>
      <c r="AS13" s="34">
        <f ca="1"/>
        <v>42892</v>
      </c>
      <c r="AT13" s="34">
        <f ca="1"/>
        <v>42893</v>
      </c>
      <c r="AU13" s="34">
        <f ca="1"/>
        <v>42894</v>
      </c>
      <c r="AV13" s="34">
        <f ca="1"/>
        <v>42895</v>
      </c>
      <c r="AW13" s="36">
        <f ca="1"/>
        <v>42896</v>
      </c>
    </row>
    <row r="14" spans="1:49" ht="18.75" customHeight="1" x14ac:dyDescent="0.3">
      <c r="B14" s="6"/>
      <c r="C14" s="130">
        <f>DATE($AN$5,ROWS($C$9:C14),1)</f>
        <v>42887</v>
      </c>
      <c r="D14" s="130"/>
      <c r="E14" s="131"/>
      <c r="F14" s="131"/>
      <c r="G14" s="132"/>
      <c r="H14" s="37">
        <f t="array" aca="1" ref="H14:AW14" ca="1">calendar</f>
        <v>42883</v>
      </c>
      <c r="I14" s="38">
        <f ca="1"/>
        <v>42884</v>
      </c>
      <c r="J14" s="38">
        <f ca="1"/>
        <v>42885</v>
      </c>
      <c r="K14" s="38">
        <f ca="1"/>
        <v>42886</v>
      </c>
      <c r="L14" s="38">
        <f ca="1"/>
        <v>42887</v>
      </c>
      <c r="M14" s="38">
        <f ca="1"/>
        <v>42888</v>
      </c>
      <c r="N14" s="39">
        <f ca="1"/>
        <v>42889</v>
      </c>
      <c r="O14" s="37">
        <f ca="1"/>
        <v>42890</v>
      </c>
      <c r="P14" s="37">
        <f ca="1"/>
        <v>42891</v>
      </c>
      <c r="Q14" s="38">
        <f ca="1"/>
        <v>42892</v>
      </c>
      <c r="R14" s="38">
        <f ca="1"/>
        <v>42893</v>
      </c>
      <c r="S14" s="38">
        <f ca="1"/>
        <v>42894</v>
      </c>
      <c r="T14" s="38">
        <f ca="1"/>
        <v>42895</v>
      </c>
      <c r="U14" s="39">
        <f ca="1"/>
        <v>42896</v>
      </c>
      <c r="V14" s="37">
        <f ca="1"/>
        <v>42897</v>
      </c>
      <c r="W14" s="38">
        <f ca="1"/>
        <v>42898</v>
      </c>
      <c r="X14" s="38">
        <f ca="1"/>
        <v>42899</v>
      </c>
      <c r="Y14" s="38">
        <f ca="1"/>
        <v>42900</v>
      </c>
      <c r="Z14" s="38">
        <f ca="1"/>
        <v>42901</v>
      </c>
      <c r="AA14" s="38">
        <f ca="1"/>
        <v>42902</v>
      </c>
      <c r="AB14" s="39">
        <f ca="1"/>
        <v>42903</v>
      </c>
      <c r="AC14" s="37">
        <f ca="1"/>
        <v>42904</v>
      </c>
      <c r="AD14" s="38">
        <f ca="1"/>
        <v>42905</v>
      </c>
      <c r="AE14" s="38">
        <f ca="1"/>
        <v>42906</v>
      </c>
      <c r="AF14" s="38">
        <f ca="1"/>
        <v>42907</v>
      </c>
      <c r="AG14" s="38">
        <f ca="1"/>
        <v>42908</v>
      </c>
      <c r="AH14" s="38">
        <f ca="1"/>
        <v>42909</v>
      </c>
      <c r="AI14" s="39">
        <f ca="1"/>
        <v>42910</v>
      </c>
      <c r="AJ14" s="37">
        <f ca="1"/>
        <v>42911</v>
      </c>
      <c r="AK14" s="38">
        <f ca="1"/>
        <v>42912</v>
      </c>
      <c r="AL14" s="38">
        <f ca="1"/>
        <v>42913</v>
      </c>
      <c r="AM14" s="38">
        <f ca="1"/>
        <v>42914</v>
      </c>
      <c r="AN14" s="38">
        <f ca="1"/>
        <v>42915</v>
      </c>
      <c r="AO14" s="38">
        <f ca="1"/>
        <v>42916</v>
      </c>
      <c r="AP14" s="39">
        <f ca="1"/>
        <v>42917</v>
      </c>
      <c r="AQ14" s="37">
        <f ca="1"/>
        <v>42918</v>
      </c>
      <c r="AR14" s="38">
        <f ca="1"/>
        <v>42919</v>
      </c>
      <c r="AS14" s="38">
        <f ca="1"/>
        <v>42920</v>
      </c>
      <c r="AT14" s="38">
        <f ca="1"/>
        <v>42921</v>
      </c>
      <c r="AU14" s="38">
        <f ca="1"/>
        <v>42922</v>
      </c>
      <c r="AV14" s="38">
        <f ca="1"/>
        <v>42923</v>
      </c>
      <c r="AW14" s="40">
        <f ca="1"/>
        <v>42924</v>
      </c>
    </row>
    <row r="15" spans="1:49" ht="18.75" customHeight="1" x14ac:dyDescent="0.3">
      <c r="B15" s="5"/>
      <c r="C15" s="121">
        <f>DATE($AN$5,ROWS($C$9:C15),1)</f>
        <v>42917</v>
      </c>
      <c r="D15" s="121"/>
      <c r="E15" s="122"/>
      <c r="F15" s="122"/>
      <c r="G15" s="123"/>
      <c r="H15" s="33">
        <f t="array" aca="1" ref="H15:AW15" ca="1">calendar</f>
        <v>42911</v>
      </c>
      <c r="I15" s="34">
        <f ca="1"/>
        <v>42912</v>
      </c>
      <c r="J15" s="34">
        <f ca="1"/>
        <v>42913</v>
      </c>
      <c r="K15" s="34">
        <f ca="1"/>
        <v>42914</v>
      </c>
      <c r="L15" s="34">
        <f ca="1"/>
        <v>42915</v>
      </c>
      <c r="M15" s="34">
        <f ca="1"/>
        <v>42916</v>
      </c>
      <c r="N15" s="35">
        <f ca="1"/>
        <v>42917</v>
      </c>
      <c r="O15" s="55">
        <f ca="1"/>
        <v>42918</v>
      </c>
      <c r="P15" s="34">
        <f ca="1"/>
        <v>42919</v>
      </c>
      <c r="Q15" s="34">
        <f ca="1"/>
        <v>42920</v>
      </c>
      <c r="R15" s="34">
        <f ca="1"/>
        <v>42921</v>
      </c>
      <c r="S15" s="34">
        <f ca="1"/>
        <v>42922</v>
      </c>
      <c r="T15" s="34">
        <f ca="1"/>
        <v>42923</v>
      </c>
      <c r="U15" s="35">
        <f ca="1"/>
        <v>42924</v>
      </c>
      <c r="V15" s="33">
        <f ca="1"/>
        <v>42925</v>
      </c>
      <c r="W15" s="34">
        <f ca="1"/>
        <v>42926</v>
      </c>
      <c r="X15" s="34">
        <f ca="1"/>
        <v>42927</v>
      </c>
      <c r="Y15" s="34">
        <f ca="1"/>
        <v>42928</v>
      </c>
      <c r="Z15" s="34">
        <f ca="1"/>
        <v>42929</v>
      </c>
      <c r="AA15" s="34">
        <f ca="1"/>
        <v>42930</v>
      </c>
      <c r="AB15" s="35">
        <f ca="1"/>
        <v>42931</v>
      </c>
      <c r="AC15" s="33">
        <f ca="1"/>
        <v>42932</v>
      </c>
      <c r="AD15" s="34">
        <f ca="1"/>
        <v>42933</v>
      </c>
      <c r="AE15" s="34">
        <f ca="1"/>
        <v>42934</v>
      </c>
      <c r="AF15" s="34">
        <f ca="1"/>
        <v>42935</v>
      </c>
      <c r="AG15" s="34">
        <f ca="1"/>
        <v>42936</v>
      </c>
      <c r="AH15" s="34">
        <f ca="1"/>
        <v>42937</v>
      </c>
      <c r="AI15" s="35">
        <f ca="1"/>
        <v>42938</v>
      </c>
      <c r="AJ15" s="33">
        <f ca="1"/>
        <v>42939</v>
      </c>
      <c r="AK15" s="34">
        <f ca="1"/>
        <v>42940</v>
      </c>
      <c r="AL15" s="34">
        <f ca="1"/>
        <v>42941</v>
      </c>
      <c r="AM15" s="34">
        <f ca="1"/>
        <v>42942</v>
      </c>
      <c r="AN15" s="34">
        <f ca="1"/>
        <v>42943</v>
      </c>
      <c r="AO15" s="34">
        <f ca="1"/>
        <v>42944</v>
      </c>
      <c r="AP15" s="35">
        <f ca="1"/>
        <v>42945</v>
      </c>
      <c r="AQ15" s="33">
        <f ca="1"/>
        <v>42946</v>
      </c>
      <c r="AR15" s="34">
        <f ca="1"/>
        <v>42947</v>
      </c>
      <c r="AS15" s="34">
        <f ca="1"/>
        <v>42948</v>
      </c>
      <c r="AT15" s="34">
        <f ca="1"/>
        <v>42949</v>
      </c>
      <c r="AU15" s="34">
        <f ca="1"/>
        <v>42950</v>
      </c>
      <c r="AV15" s="34">
        <f ca="1"/>
        <v>42951</v>
      </c>
      <c r="AW15" s="36">
        <f ca="1"/>
        <v>42952</v>
      </c>
    </row>
    <row r="16" spans="1:49" ht="18.75" customHeight="1" x14ac:dyDescent="0.3">
      <c r="B16" s="6"/>
      <c r="C16" s="130">
        <f>DATE($AN$5,ROWS($C$9:C16),1)</f>
        <v>42948</v>
      </c>
      <c r="D16" s="130"/>
      <c r="E16" s="131"/>
      <c r="F16" s="131"/>
      <c r="G16" s="132"/>
      <c r="H16" s="37">
        <f t="array" aca="1" ref="H16:AW16" ca="1">calendar</f>
        <v>42946</v>
      </c>
      <c r="I16" s="38">
        <f ca="1"/>
        <v>42947</v>
      </c>
      <c r="J16" s="38">
        <f ca="1"/>
        <v>42948</v>
      </c>
      <c r="K16" s="38">
        <f ca="1"/>
        <v>42949</v>
      </c>
      <c r="L16" s="38">
        <f ca="1"/>
        <v>42950</v>
      </c>
      <c r="M16" s="38">
        <f ca="1"/>
        <v>42951</v>
      </c>
      <c r="N16" s="39">
        <f ca="1"/>
        <v>42952</v>
      </c>
      <c r="O16" s="37">
        <f ca="1"/>
        <v>42953</v>
      </c>
      <c r="P16" s="38">
        <f ca="1"/>
        <v>42954</v>
      </c>
      <c r="Q16" s="38">
        <f ca="1"/>
        <v>42955</v>
      </c>
      <c r="R16" s="38">
        <f ca="1"/>
        <v>42956</v>
      </c>
      <c r="S16" s="38">
        <f ca="1"/>
        <v>42957</v>
      </c>
      <c r="T16" s="38">
        <f ca="1"/>
        <v>42958</v>
      </c>
      <c r="U16" s="39">
        <f ca="1"/>
        <v>42959</v>
      </c>
      <c r="V16" s="37">
        <f ca="1"/>
        <v>42960</v>
      </c>
      <c r="W16" s="38">
        <f ca="1"/>
        <v>42961</v>
      </c>
      <c r="X16" s="38">
        <f ca="1"/>
        <v>42962</v>
      </c>
      <c r="Y16" s="38">
        <f ca="1"/>
        <v>42963</v>
      </c>
      <c r="Z16" s="38">
        <f ca="1"/>
        <v>42964</v>
      </c>
      <c r="AA16" s="38">
        <f ca="1"/>
        <v>42965</v>
      </c>
      <c r="AB16" s="39">
        <f ca="1"/>
        <v>42966</v>
      </c>
      <c r="AC16" s="37">
        <f ca="1"/>
        <v>42967</v>
      </c>
      <c r="AD16" s="38">
        <f ca="1"/>
        <v>42968</v>
      </c>
      <c r="AE16" s="38">
        <f ca="1"/>
        <v>42969</v>
      </c>
      <c r="AF16" s="38">
        <f ca="1"/>
        <v>42970</v>
      </c>
      <c r="AG16" s="38">
        <f ca="1"/>
        <v>42971</v>
      </c>
      <c r="AH16" s="38">
        <f ca="1"/>
        <v>42972</v>
      </c>
      <c r="AI16" s="39">
        <f ca="1"/>
        <v>42973</v>
      </c>
      <c r="AJ16" s="37">
        <f ca="1"/>
        <v>42974</v>
      </c>
      <c r="AK16" s="38">
        <f ca="1"/>
        <v>42975</v>
      </c>
      <c r="AL16" s="38">
        <f ca="1"/>
        <v>42976</v>
      </c>
      <c r="AM16" s="38">
        <f ca="1"/>
        <v>42977</v>
      </c>
      <c r="AN16" s="38">
        <f ca="1"/>
        <v>42978</v>
      </c>
      <c r="AO16" s="38">
        <f ca="1"/>
        <v>42979</v>
      </c>
      <c r="AP16" s="39">
        <f ca="1"/>
        <v>42980</v>
      </c>
      <c r="AQ16" s="37">
        <f ca="1"/>
        <v>42981</v>
      </c>
      <c r="AR16" s="38">
        <f ca="1"/>
        <v>42982</v>
      </c>
      <c r="AS16" s="38">
        <f ca="1"/>
        <v>42983</v>
      </c>
      <c r="AT16" s="38">
        <f ca="1"/>
        <v>42984</v>
      </c>
      <c r="AU16" s="38">
        <f ca="1"/>
        <v>42985</v>
      </c>
      <c r="AV16" s="38">
        <f ca="1"/>
        <v>42986</v>
      </c>
      <c r="AW16" s="40">
        <f ca="1"/>
        <v>42987</v>
      </c>
    </row>
    <row r="17" spans="2:51" ht="18.75" customHeight="1" x14ac:dyDescent="0.3">
      <c r="B17" s="5"/>
      <c r="C17" s="121">
        <f>DATE($AN$5,ROWS($C$9:C17),1)</f>
        <v>42979</v>
      </c>
      <c r="D17" s="121"/>
      <c r="E17" s="122"/>
      <c r="F17" s="122"/>
      <c r="G17" s="123"/>
      <c r="H17" s="33">
        <f t="array" aca="1" ref="H17:AW17" ca="1">calendar</f>
        <v>42974</v>
      </c>
      <c r="I17" s="34">
        <f ca="1"/>
        <v>42975</v>
      </c>
      <c r="J17" s="34">
        <f ca="1"/>
        <v>42976</v>
      </c>
      <c r="K17" s="34">
        <f ca="1"/>
        <v>42977</v>
      </c>
      <c r="L17" s="34">
        <f ca="1"/>
        <v>42978</v>
      </c>
      <c r="M17" s="34">
        <f ca="1"/>
        <v>42979</v>
      </c>
      <c r="N17" s="35">
        <f ca="1"/>
        <v>42980</v>
      </c>
      <c r="O17" s="33">
        <f ca="1"/>
        <v>42981</v>
      </c>
      <c r="P17" s="34">
        <f ca="1"/>
        <v>42982</v>
      </c>
      <c r="Q17" s="34">
        <f ca="1"/>
        <v>42983</v>
      </c>
      <c r="R17" s="34">
        <f ca="1"/>
        <v>42984</v>
      </c>
      <c r="S17" s="34">
        <f ca="1"/>
        <v>42985</v>
      </c>
      <c r="T17" s="34">
        <f ca="1"/>
        <v>42986</v>
      </c>
      <c r="U17" s="35">
        <f ca="1"/>
        <v>42987</v>
      </c>
      <c r="V17" s="33">
        <f ca="1"/>
        <v>42988</v>
      </c>
      <c r="W17" s="34">
        <f ca="1"/>
        <v>42989</v>
      </c>
      <c r="X17" s="34">
        <f ca="1"/>
        <v>42990</v>
      </c>
      <c r="Y17" s="34">
        <f ca="1"/>
        <v>42991</v>
      </c>
      <c r="Z17" s="34">
        <f ca="1"/>
        <v>42992</v>
      </c>
      <c r="AA17" s="34">
        <f ca="1"/>
        <v>42993</v>
      </c>
      <c r="AB17" s="35">
        <f ca="1"/>
        <v>42994</v>
      </c>
      <c r="AC17" s="33">
        <f ca="1"/>
        <v>42995</v>
      </c>
      <c r="AD17" s="34">
        <f ca="1"/>
        <v>42996</v>
      </c>
      <c r="AE17" s="34">
        <f ca="1"/>
        <v>42997</v>
      </c>
      <c r="AF17" s="34">
        <f ca="1"/>
        <v>42998</v>
      </c>
      <c r="AG17" s="34">
        <f ca="1"/>
        <v>42999</v>
      </c>
      <c r="AH17" s="34">
        <f ca="1"/>
        <v>43000</v>
      </c>
      <c r="AI17" s="35">
        <f ca="1"/>
        <v>43001</v>
      </c>
      <c r="AJ17" s="33">
        <f ca="1"/>
        <v>43002</v>
      </c>
      <c r="AK17" s="34">
        <f ca="1"/>
        <v>43003</v>
      </c>
      <c r="AL17" s="34">
        <f ca="1"/>
        <v>43004</v>
      </c>
      <c r="AM17" s="34">
        <f ca="1"/>
        <v>43005</v>
      </c>
      <c r="AN17" s="34">
        <f ca="1"/>
        <v>43006</v>
      </c>
      <c r="AO17" s="34">
        <f ca="1"/>
        <v>43007</v>
      </c>
      <c r="AP17" s="35">
        <f ca="1"/>
        <v>43008</v>
      </c>
      <c r="AQ17" s="33">
        <f ca="1"/>
        <v>43009</v>
      </c>
      <c r="AR17" s="34">
        <f ca="1"/>
        <v>43010</v>
      </c>
      <c r="AS17" s="34">
        <f ca="1"/>
        <v>43011</v>
      </c>
      <c r="AT17" s="34">
        <f ca="1"/>
        <v>43012</v>
      </c>
      <c r="AU17" s="34">
        <f ca="1"/>
        <v>43013</v>
      </c>
      <c r="AV17" s="34">
        <f ca="1"/>
        <v>43014</v>
      </c>
      <c r="AW17" s="36">
        <f ca="1"/>
        <v>43015</v>
      </c>
    </row>
    <row r="18" spans="2:51" ht="18.75" customHeight="1" x14ac:dyDescent="0.3">
      <c r="B18" s="6"/>
      <c r="C18" s="130">
        <f>DATE($AN$5,ROWS($C$9:C18),1)</f>
        <v>43009</v>
      </c>
      <c r="D18" s="130"/>
      <c r="E18" s="131"/>
      <c r="F18" s="131"/>
      <c r="G18" s="132"/>
      <c r="H18" s="37">
        <f t="array" aca="1" ref="H18:AW18" ca="1">calendar</f>
        <v>43002</v>
      </c>
      <c r="I18" s="38">
        <f ca="1"/>
        <v>43003</v>
      </c>
      <c r="J18" s="38">
        <f ca="1"/>
        <v>43004</v>
      </c>
      <c r="K18" s="38">
        <f ca="1"/>
        <v>43005</v>
      </c>
      <c r="L18" s="38">
        <f ca="1"/>
        <v>43006</v>
      </c>
      <c r="M18" s="38">
        <f ca="1"/>
        <v>43007</v>
      </c>
      <c r="N18" s="39">
        <f ca="1"/>
        <v>43008</v>
      </c>
      <c r="O18" s="37">
        <f ca="1"/>
        <v>43009</v>
      </c>
      <c r="P18" s="38">
        <f ca="1"/>
        <v>43010</v>
      </c>
      <c r="Q18" s="38">
        <f ca="1"/>
        <v>43011</v>
      </c>
      <c r="R18" s="38">
        <f ca="1"/>
        <v>43012</v>
      </c>
      <c r="S18" s="38">
        <f ca="1"/>
        <v>43013</v>
      </c>
      <c r="T18" s="38">
        <f ca="1"/>
        <v>43014</v>
      </c>
      <c r="U18" s="39">
        <f ca="1"/>
        <v>43015</v>
      </c>
      <c r="V18" s="37">
        <f ca="1"/>
        <v>43016</v>
      </c>
      <c r="W18" s="38">
        <f ca="1"/>
        <v>43017</v>
      </c>
      <c r="X18" s="38">
        <f ca="1"/>
        <v>43018</v>
      </c>
      <c r="Y18" s="38">
        <f ca="1"/>
        <v>43019</v>
      </c>
      <c r="Z18" s="38">
        <f ca="1"/>
        <v>43020</v>
      </c>
      <c r="AA18" s="38">
        <f ca="1"/>
        <v>43021</v>
      </c>
      <c r="AB18" s="39">
        <f ca="1"/>
        <v>43022</v>
      </c>
      <c r="AC18" s="37">
        <f ca="1"/>
        <v>43023</v>
      </c>
      <c r="AD18" s="38">
        <f ca="1"/>
        <v>43024</v>
      </c>
      <c r="AE18" s="38">
        <f ca="1"/>
        <v>43025</v>
      </c>
      <c r="AF18" s="38">
        <f ca="1"/>
        <v>43026</v>
      </c>
      <c r="AG18" s="38">
        <f ca="1"/>
        <v>43027</v>
      </c>
      <c r="AH18" s="38">
        <f ca="1"/>
        <v>43028</v>
      </c>
      <c r="AI18" s="39">
        <f ca="1"/>
        <v>43029</v>
      </c>
      <c r="AJ18" s="37">
        <f ca="1"/>
        <v>43030</v>
      </c>
      <c r="AK18" s="38">
        <f ca="1"/>
        <v>43031</v>
      </c>
      <c r="AL18" s="38">
        <f ca="1"/>
        <v>43032</v>
      </c>
      <c r="AM18" s="38">
        <f ca="1"/>
        <v>43033</v>
      </c>
      <c r="AN18" s="38">
        <f ca="1"/>
        <v>43034</v>
      </c>
      <c r="AO18" s="38">
        <f ca="1"/>
        <v>43035</v>
      </c>
      <c r="AP18" s="39">
        <f ca="1"/>
        <v>43036</v>
      </c>
      <c r="AQ18" s="37">
        <f ca="1"/>
        <v>43037</v>
      </c>
      <c r="AR18" s="38">
        <f ca="1"/>
        <v>43038</v>
      </c>
      <c r="AS18" s="38">
        <f ca="1"/>
        <v>43039</v>
      </c>
      <c r="AT18" s="38">
        <f ca="1"/>
        <v>43040</v>
      </c>
      <c r="AU18" s="38">
        <f ca="1"/>
        <v>43041</v>
      </c>
      <c r="AV18" s="38">
        <f ca="1"/>
        <v>43042</v>
      </c>
      <c r="AW18" s="40">
        <f ca="1"/>
        <v>43043</v>
      </c>
    </row>
    <row r="19" spans="2:51" ht="18.75" customHeight="1" x14ac:dyDescent="0.3">
      <c r="B19" s="5"/>
      <c r="C19" s="121">
        <f>DATE($AN$5,ROWS($C$9:C19),1)</f>
        <v>43040</v>
      </c>
      <c r="D19" s="121"/>
      <c r="E19" s="122"/>
      <c r="F19" s="122"/>
      <c r="G19" s="123"/>
      <c r="H19" s="33">
        <f t="array" aca="1" ref="H19:AW19" ca="1">calendar</f>
        <v>43037</v>
      </c>
      <c r="I19" s="34">
        <f ca="1"/>
        <v>43038</v>
      </c>
      <c r="J19" s="34">
        <f ca="1"/>
        <v>43039</v>
      </c>
      <c r="K19" s="34">
        <f ca="1"/>
        <v>43040</v>
      </c>
      <c r="L19" s="34">
        <f ca="1"/>
        <v>43041</v>
      </c>
      <c r="M19" s="34">
        <f ca="1"/>
        <v>43042</v>
      </c>
      <c r="N19" s="35">
        <f ca="1"/>
        <v>43043</v>
      </c>
      <c r="O19" s="33">
        <f ca="1"/>
        <v>43044</v>
      </c>
      <c r="P19" s="34">
        <f ca="1"/>
        <v>43045</v>
      </c>
      <c r="Q19" s="34">
        <f ca="1"/>
        <v>43046</v>
      </c>
      <c r="R19" s="34">
        <f ca="1"/>
        <v>43047</v>
      </c>
      <c r="S19" s="34">
        <f ca="1"/>
        <v>43048</v>
      </c>
      <c r="T19" s="34">
        <f ca="1"/>
        <v>43049</v>
      </c>
      <c r="U19" s="35">
        <f ca="1"/>
        <v>43050</v>
      </c>
      <c r="V19" s="33">
        <f ca="1"/>
        <v>43051</v>
      </c>
      <c r="W19" s="34">
        <f ca="1"/>
        <v>43052</v>
      </c>
      <c r="X19" s="34">
        <f ca="1"/>
        <v>43053</v>
      </c>
      <c r="Y19" s="34">
        <f ca="1"/>
        <v>43054</v>
      </c>
      <c r="Z19" s="34">
        <f ca="1"/>
        <v>43055</v>
      </c>
      <c r="AA19" s="34">
        <f ca="1"/>
        <v>43056</v>
      </c>
      <c r="AB19" s="35">
        <f ca="1"/>
        <v>43057</v>
      </c>
      <c r="AC19" s="33">
        <f ca="1"/>
        <v>43058</v>
      </c>
      <c r="AD19" s="34">
        <f ca="1"/>
        <v>43059</v>
      </c>
      <c r="AE19" s="34">
        <f ca="1"/>
        <v>43060</v>
      </c>
      <c r="AF19" s="34">
        <f ca="1"/>
        <v>43061</v>
      </c>
      <c r="AG19" s="34">
        <f ca="1"/>
        <v>43062</v>
      </c>
      <c r="AH19" s="34">
        <f ca="1"/>
        <v>43063</v>
      </c>
      <c r="AI19" s="35">
        <f ca="1"/>
        <v>43064</v>
      </c>
      <c r="AJ19" s="33">
        <f ca="1"/>
        <v>43065</v>
      </c>
      <c r="AK19" s="34">
        <f ca="1"/>
        <v>43066</v>
      </c>
      <c r="AL19" s="34">
        <f ca="1"/>
        <v>43067</v>
      </c>
      <c r="AM19" s="34">
        <f ca="1"/>
        <v>43068</v>
      </c>
      <c r="AN19" s="34">
        <f ca="1"/>
        <v>43069</v>
      </c>
      <c r="AO19" s="34">
        <f ca="1"/>
        <v>43070</v>
      </c>
      <c r="AP19" s="35">
        <f ca="1"/>
        <v>43071</v>
      </c>
      <c r="AQ19" s="33">
        <f ca="1"/>
        <v>43072</v>
      </c>
      <c r="AR19" s="34">
        <f ca="1"/>
        <v>43073</v>
      </c>
      <c r="AS19" s="34">
        <f ca="1"/>
        <v>43074</v>
      </c>
      <c r="AT19" s="34">
        <f ca="1"/>
        <v>43075</v>
      </c>
      <c r="AU19" s="34">
        <f ca="1"/>
        <v>43076</v>
      </c>
      <c r="AV19" s="34">
        <f ca="1"/>
        <v>43077</v>
      </c>
      <c r="AW19" s="36">
        <f ca="1"/>
        <v>43078</v>
      </c>
    </row>
    <row r="20" spans="2:51" ht="18.75" customHeight="1" x14ac:dyDescent="0.3">
      <c r="B20" s="7"/>
      <c r="C20" s="124">
        <f>DATE($AN$5,ROWS($C$9:C20),1)</f>
        <v>43070</v>
      </c>
      <c r="D20" s="124"/>
      <c r="E20" s="125"/>
      <c r="F20" s="125"/>
      <c r="G20" s="126"/>
      <c r="H20" s="41">
        <f t="array" aca="1" ref="H20:AW20" ca="1">calendar</f>
        <v>43065</v>
      </c>
      <c r="I20" s="42">
        <f ca="1"/>
        <v>43066</v>
      </c>
      <c r="J20" s="42">
        <f ca="1"/>
        <v>43067</v>
      </c>
      <c r="K20" s="42">
        <f ca="1"/>
        <v>43068</v>
      </c>
      <c r="L20" s="42">
        <f ca="1"/>
        <v>43069</v>
      </c>
      <c r="M20" s="42">
        <f ca="1"/>
        <v>43070</v>
      </c>
      <c r="N20" s="43">
        <f ca="1"/>
        <v>43071</v>
      </c>
      <c r="O20" s="41">
        <f ca="1"/>
        <v>43072</v>
      </c>
      <c r="P20" s="42">
        <f ca="1"/>
        <v>43073</v>
      </c>
      <c r="Q20" s="42">
        <f ca="1"/>
        <v>43074</v>
      </c>
      <c r="R20" s="42">
        <f ca="1"/>
        <v>43075</v>
      </c>
      <c r="S20" s="42">
        <f ca="1"/>
        <v>43076</v>
      </c>
      <c r="T20" s="42">
        <f ca="1"/>
        <v>43077</v>
      </c>
      <c r="U20" s="43">
        <f ca="1"/>
        <v>43078</v>
      </c>
      <c r="V20" s="41">
        <f ca="1"/>
        <v>43079</v>
      </c>
      <c r="W20" s="42">
        <f ca="1"/>
        <v>43080</v>
      </c>
      <c r="X20" s="42">
        <f ca="1"/>
        <v>43081</v>
      </c>
      <c r="Y20" s="42">
        <f ca="1"/>
        <v>43082</v>
      </c>
      <c r="Z20" s="42">
        <f ca="1"/>
        <v>43083</v>
      </c>
      <c r="AA20" s="42">
        <f ca="1"/>
        <v>43084</v>
      </c>
      <c r="AB20" s="43">
        <f ca="1"/>
        <v>43085</v>
      </c>
      <c r="AC20" s="41">
        <f ca="1"/>
        <v>43086</v>
      </c>
      <c r="AD20" s="42">
        <f ca="1"/>
        <v>43087</v>
      </c>
      <c r="AE20" s="42">
        <f ca="1"/>
        <v>43088</v>
      </c>
      <c r="AF20" s="42">
        <f ca="1"/>
        <v>43089</v>
      </c>
      <c r="AG20" s="42">
        <f ca="1"/>
        <v>43090</v>
      </c>
      <c r="AH20" s="42">
        <f ca="1"/>
        <v>43091</v>
      </c>
      <c r="AI20" s="43">
        <f ca="1"/>
        <v>43092</v>
      </c>
      <c r="AJ20" s="41">
        <f ca="1"/>
        <v>43093</v>
      </c>
      <c r="AK20" s="42">
        <f ca="1"/>
        <v>43094</v>
      </c>
      <c r="AL20" s="42">
        <f ca="1"/>
        <v>43095</v>
      </c>
      <c r="AM20" s="42">
        <f ca="1"/>
        <v>43096</v>
      </c>
      <c r="AN20" s="42">
        <f ca="1"/>
        <v>43097</v>
      </c>
      <c r="AO20" s="42">
        <f ca="1"/>
        <v>43098</v>
      </c>
      <c r="AP20" s="43">
        <f ca="1"/>
        <v>43099</v>
      </c>
      <c r="AQ20" s="41">
        <f ca="1"/>
        <v>43100</v>
      </c>
      <c r="AR20" s="42">
        <f ca="1"/>
        <v>43101</v>
      </c>
      <c r="AS20" s="42">
        <f ca="1"/>
        <v>43102</v>
      </c>
      <c r="AT20" s="42">
        <f ca="1"/>
        <v>43103</v>
      </c>
      <c r="AU20" s="42">
        <f ca="1"/>
        <v>43104</v>
      </c>
      <c r="AV20" s="42">
        <f ca="1"/>
        <v>43105</v>
      </c>
      <c r="AW20" s="44">
        <f ca="1"/>
        <v>43106</v>
      </c>
    </row>
    <row r="21" spans="2:51" ht="5.25" customHeight="1" x14ac:dyDescent="0.3">
      <c r="B21" s="8"/>
      <c r="C21" s="9"/>
      <c r="D21" s="9"/>
      <c r="E21" s="9"/>
      <c r="F21" s="9"/>
      <c r="G21" s="9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1"/>
    </row>
    <row r="22" spans="2:51" ht="31.5" customHeight="1" x14ac:dyDescent="0.3">
      <c r="B22" s="4"/>
      <c r="C22" s="109" t="s">
        <v>25</v>
      </c>
      <c r="D22" s="113"/>
      <c r="E22" s="12"/>
      <c r="F22" s="12"/>
      <c r="G22" s="12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4"/>
    </row>
    <row r="23" spans="2:51" ht="4.5" customHeight="1" x14ac:dyDescent="0.3">
      <c r="B23" s="4"/>
      <c r="C23" s="110"/>
      <c r="D23" s="110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</row>
    <row r="24" spans="2:51" x14ac:dyDescent="0.25">
      <c r="B24" s="4"/>
      <c r="C24" s="111"/>
      <c r="D24" s="127" t="s">
        <v>14</v>
      </c>
      <c r="E24" s="128"/>
      <c r="F24" s="128"/>
      <c r="G24" s="128"/>
      <c r="H24" s="15"/>
      <c r="I24" s="20"/>
      <c r="J24" s="15"/>
      <c r="K24" s="14"/>
      <c r="L24" s="129" t="s">
        <v>15</v>
      </c>
      <c r="M24" s="129"/>
      <c r="N24" s="129"/>
      <c r="O24" s="129"/>
      <c r="P24" s="17"/>
      <c r="Q24" s="20"/>
      <c r="R24" s="16"/>
      <c r="S24" s="16"/>
      <c r="T24" s="129" t="s">
        <v>11</v>
      </c>
      <c r="U24" s="129"/>
      <c r="V24" s="129"/>
      <c r="W24" s="129"/>
      <c r="X24" s="17"/>
      <c r="Y24" s="20"/>
      <c r="Z24" s="16"/>
      <c r="AA24" s="129" t="s">
        <v>22</v>
      </c>
      <c r="AB24" s="129"/>
      <c r="AC24" s="129"/>
      <c r="AD24" s="129"/>
      <c r="AE24" s="129"/>
      <c r="AF24" s="129"/>
      <c r="AG24" s="20"/>
      <c r="AH24" s="14"/>
      <c r="AI24" s="129" t="s">
        <v>12</v>
      </c>
      <c r="AJ24" s="129"/>
      <c r="AK24" s="129"/>
      <c r="AL24" s="129"/>
      <c r="AM24" s="129"/>
      <c r="AN24" s="129"/>
      <c r="AO24" s="20"/>
      <c r="AP24" s="14"/>
      <c r="AR24" s="129" t="s">
        <v>13</v>
      </c>
      <c r="AS24" s="129"/>
      <c r="AT24" s="129"/>
      <c r="AU24" s="129"/>
      <c r="AW24" s="29"/>
      <c r="AX24" s="4"/>
    </row>
    <row r="25" spans="2:51" ht="7.5" customHeight="1" x14ac:dyDescent="0.3">
      <c r="B25" s="4"/>
      <c r="C25" s="111"/>
      <c r="D25" s="111"/>
      <c r="I25" s="21"/>
      <c r="Q25" s="21"/>
      <c r="Y25" s="21"/>
      <c r="AG25" s="21"/>
      <c r="AO25" s="21"/>
      <c r="AW25" s="4"/>
      <c r="AX25" s="4"/>
    </row>
    <row r="26" spans="2:51" x14ac:dyDescent="0.3">
      <c r="B26" s="4"/>
      <c r="C26" s="111"/>
      <c r="D26" s="134">
        <f>SUMIFS(tblLeave[Days],tblLeave[Employee Name],valSelEmployee,tblLeave[Start Date],"&gt;="&amp;DATE($AN$5,1,1),tblLeave[End Date],"&lt;"&amp;DATE($AN$5+1,1,1))</f>
        <v>0</v>
      </c>
      <c r="E26" s="133"/>
      <c r="F26" s="133"/>
      <c r="G26" s="133"/>
      <c r="I26" s="21"/>
      <c r="L26" s="133">
        <f>NETWORKDAYS(DATE($AN$5,1,1),EDATE(DATE($AN$5,1,1),12)-1)</f>
        <v>260</v>
      </c>
      <c r="M26" s="133"/>
      <c r="N26" s="133"/>
      <c r="O26" s="133"/>
      <c r="Q26" s="21"/>
      <c r="T26" s="136">
        <f>SUMIFS(tblLeave[Days],tblLeave[Employee Name],valSelEmployee,tblLeave[Start Date],"&gt;="&amp;DATE($AN$5,1,1),tblLeave[End Date],"&lt;"&amp;DATE($AN$5+1,1,1),tblLeave[Type of Leave],Settings!$D$4)</f>
        <v>0</v>
      </c>
      <c r="U26" s="136"/>
      <c r="V26" s="136"/>
      <c r="W26" s="136"/>
      <c r="Y26" s="21"/>
      <c r="AB26" s="135">
        <f>SUMIFS(tblLeave[Days],tblLeave[Employee Name],valSelEmployee,tblLeave[Start Date],"&gt;="&amp;DATE($AN$5,1,1),tblLeave[End Date],"&lt;"&amp;DATE($AN$5+1,1,1),tblLeave[Type of Leave],Settings!$D$5)</f>
        <v>0</v>
      </c>
      <c r="AC26" s="135"/>
      <c r="AD26" s="135"/>
      <c r="AE26" s="135"/>
      <c r="AG26" s="21"/>
      <c r="AJ26" s="149">
        <f>SUMIFS(tblLeave[Days],tblLeave[Employee Name],valSelEmployee,tblLeave[Start Date],"&gt;="&amp;DATE($AN$5,1,1),tblLeave[End Date],"&lt;"&amp;DATE($AN$5+1,1,1),tblLeave[Type of Leave],Settings!$D$6)</f>
        <v>0</v>
      </c>
      <c r="AK26" s="149"/>
      <c r="AL26" s="149"/>
      <c r="AM26" s="149"/>
      <c r="AO26" s="21"/>
      <c r="AR26" s="148">
        <f>SUMIFS(tblLeave[Days],tblLeave[Employee Name],valSelEmployee,tblLeave[Start Date],"&gt;="&amp;DATE($AN$5,1,1),tblLeave[End Date],"&lt;"&amp;DATE($AN$5+1,1,1),tblLeave[Type of Leave],Settings!$D$7)</f>
        <v>0</v>
      </c>
      <c r="AS26" s="148"/>
      <c r="AT26" s="148"/>
      <c r="AU26" s="148"/>
      <c r="AW26" s="4"/>
      <c r="AX26" s="4"/>
    </row>
    <row r="27" spans="2:51" x14ac:dyDescent="0.3">
      <c r="B27" s="4"/>
      <c r="C27" s="111"/>
      <c r="D27" s="134"/>
      <c r="E27" s="133"/>
      <c r="F27" s="133"/>
      <c r="G27" s="133"/>
      <c r="I27" s="21"/>
      <c r="L27" s="133"/>
      <c r="M27" s="133"/>
      <c r="N27" s="133"/>
      <c r="O27" s="133"/>
      <c r="Q27" s="21"/>
      <c r="T27" s="136"/>
      <c r="U27" s="136"/>
      <c r="V27" s="136"/>
      <c r="W27" s="136"/>
      <c r="Y27" s="21"/>
      <c r="AB27" s="135"/>
      <c r="AC27" s="135"/>
      <c r="AD27" s="135"/>
      <c r="AE27" s="135"/>
      <c r="AG27" s="21"/>
      <c r="AJ27" s="149"/>
      <c r="AK27" s="149"/>
      <c r="AL27" s="149"/>
      <c r="AM27" s="149"/>
      <c r="AO27" s="21"/>
      <c r="AR27" s="148"/>
      <c r="AS27" s="148"/>
      <c r="AT27" s="148"/>
      <c r="AU27" s="148"/>
      <c r="AW27" s="4"/>
      <c r="AX27" s="4"/>
    </row>
    <row r="28" spans="2:51" x14ac:dyDescent="0.3">
      <c r="B28" s="4"/>
      <c r="C28" s="111"/>
      <c r="D28" s="134"/>
      <c r="E28" s="133"/>
      <c r="F28" s="133"/>
      <c r="G28" s="133"/>
      <c r="I28" s="21"/>
      <c r="L28" s="133"/>
      <c r="M28" s="133"/>
      <c r="N28" s="133"/>
      <c r="O28" s="133"/>
      <c r="Q28" s="21"/>
      <c r="T28" s="136"/>
      <c r="U28" s="136"/>
      <c r="V28" s="136"/>
      <c r="W28" s="136"/>
      <c r="Y28" s="21"/>
      <c r="AB28" s="135"/>
      <c r="AC28" s="135"/>
      <c r="AD28" s="135"/>
      <c r="AE28" s="135"/>
      <c r="AG28" s="21"/>
      <c r="AJ28" s="149"/>
      <c r="AK28" s="149"/>
      <c r="AL28" s="149"/>
      <c r="AM28" s="149"/>
      <c r="AO28" s="21"/>
      <c r="AR28" s="148"/>
      <c r="AS28" s="148"/>
      <c r="AT28" s="148"/>
      <c r="AU28" s="148"/>
      <c r="AW28" s="4"/>
      <c r="AX28" s="2"/>
      <c r="AY28" s="3"/>
    </row>
    <row r="29" spans="2:51" ht="7.5" customHeight="1" x14ac:dyDescent="0.3">
      <c r="B29" s="4"/>
      <c r="C29" s="111"/>
      <c r="D29" s="111"/>
      <c r="I29" s="21"/>
      <c r="Q29" s="21"/>
      <c r="Y29" s="21"/>
      <c r="AG29" s="21"/>
      <c r="AO29" s="21"/>
      <c r="AW29" s="4"/>
      <c r="AX29" s="4"/>
    </row>
    <row r="30" spans="2:51" ht="15" customHeight="1" x14ac:dyDescent="0.3">
      <c r="B30" s="4"/>
      <c r="C30" s="111"/>
      <c r="D30" s="137">
        <f>SUMIFS(tblLeave[Days],tblLeave[Employee Name],valSelEmployee,tblLeave[Start Date],"&gt;="&amp;DATE($AN$5-1,1,1),tblLeave[End Date],"&lt;"&amp;DATE($AN$5,1,1))</f>
        <v>0</v>
      </c>
      <c r="E30" s="138"/>
      <c r="F30" s="138"/>
      <c r="G30" s="138"/>
      <c r="H30" s="46"/>
      <c r="I30" s="47"/>
      <c r="J30" s="46"/>
      <c r="K30" s="46"/>
      <c r="L30" s="141">
        <f>NETWORKDAYS(DATE($AN$5-1,1,1),EDATE(DATE($AN$5-1,1,1),12)-1)</f>
        <v>261</v>
      </c>
      <c r="M30" s="141"/>
      <c r="N30" s="141"/>
      <c r="O30" s="141"/>
      <c r="P30" s="48"/>
      <c r="Q30" s="47"/>
      <c r="R30" s="49"/>
      <c r="S30" s="49"/>
      <c r="T30" s="141">
        <f>SUMIFS(tblLeave[Days],tblLeave[Employee Name],valSelEmployee,tblLeave[Start Date],"&gt;="&amp;DATE($AN$5-1,1,1),tblLeave[End Date],"&lt;"&amp;DATE($AN$5,1,1),tblLeave[Type of Leave],Settings!$D$4)</f>
        <v>0</v>
      </c>
      <c r="U30" s="141"/>
      <c r="V30" s="141"/>
      <c r="W30" s="141"/>
      <c r="X30" s="48"/>
      <c r="Y30" s="47"/>
      <c r="Z30" s="49"/>
      <c r="AA30" s="49"/>
      <c r="AB30" s="141">
        <f>SUMIFS(tblLeave[Days],tblLeave[Employee Name],valSelEmployee,tblLeave[Start Date],"&gt;="&amp;DATE($AN$5-1,1,1),tblLeave[End Date],"&lt;"&amp;DATE($AN$5,1,1),tblLeave[Type of Leave],Settings!$D$5)</f>
        <v>0</v>
      </c>
      <c r="AC30" s="141"/>
      <c r="AD30" s="141"/>
      <c r="AE30" s="141"/>
      <c r="AF30" s="48"/>
      <c r="AG30" s="47"/>
      <c r="AH30" s="49"/>
      <c r="AI30" s="46"/>
      <c r="AJ30" s="141">
        <f>SUMIFS(tblLeave[Days],tblLeave[Employee Name],valSelEmployee,tblLeave[Start Date],"&gt;="&amp;DATE($AN$5-1,1,1),tblLeave[End Date],"&lt;"&amp;DATE($AN$5,1,1),tblLeave[Type of Leave],Settings!$D$6)</f>
        <v>0</v>
      </c>
      <c r="AK30" s="141"/>
      <c r="AL30" s="141"/>
      <c r="AM30" s="141"/>
      <c r="AN30" s="48"/>
      <c r="AO30" s="47"/>
      <c r="AP30" s="49"/>
      <c r="AQ30" s="46"/>
      <c r="AR30" s="141">
        <f>SUMIFS(tblLeave[Days],tblLeave[Employee Name],valSelEmployee,tblLeave[Start Date],"&gt;="&amp;DATE($AN$5-1,1,1),tblLeave[End Date],"&lt;"&amp;DATE($AN$5,1,1),tblLeave[Type of Leave],Settings!$D$7)</f>
        <v>0</v>
      </c>
      <c r="AS30" s="141"/>
      <c r="AT30" s="141"/>
      <c r="AU30" s="141"/>
      <c r="AW30" s="30"/>
      <c r="AX30" s="2"/>
      <c r="AY30" s="3"/>
    </row>
    <row r="31" spans="2:51" x14ac:dyDescent="0.3">
      <c r="B31" s="4"/>
      <c r="C31" s="111"/>
      <c r="D31" s="139" t="str">
        <f>IFERROR(IF(D26&gt;D30,"UP ", "DOWN ")&amp;TEXT(D26/D30-1,"0%;0%"),"")</f>
        <v/>
      </c>
      <c r="E31" s="140"/>
      <c r="F31" s="140"/>
      <c r="G31" s="140"/>
      <c r="H31" s="46"/>
      <c r="I31" s="20"/>
      <c r="J31" s="46"/>
      <c r="K31" s="46"/>
      <c r="L31" s="140" t="str">
        <f>IFERROR(IF(L26&gt;L30,"UP ", "DOWN ")&amp;TEXT(L26/L30-1,"0%;0%"),"")</f>
        <v>DOWN 0%</v>
      </c>
      <c r="M31" s="140"/>
      <c r="N31" s="140"/>
      <c r="O31" s="140"/>
      <c r="P31" s="50"/>
      <c r="Q31" s="20"/>
      <c r="R31" s="51"/>
      <c r="S31" s="49"/>
      <c r="T31" s="140" t="str">
        <f>IFERROR(IF(T26&gt;T30,"UP ", "DOWN ")&amp;TEXT(T26/T30-1,"0%;0%"),"")</f>
        <v/>
      </c>
      <c r="U31" s="140"/>
      <c r="V31" s="140"/>
      <c r="W31" s="140"/>
      <c r="X31" s="50"/>
      <c r="Y31" s="20"/>
      <c r="Z31" s="49"/>
      <c r="AA31" s="49"/>
      <c r="AB31" s="140" t="str">
        <f>IFERROR(IF(AB26&gt;AB30,"UP ", "DOWN ")&amp;TEXT(AB26/AB30-1,"0%;0%"),"")</f>
        <v/>
      </c>
      <c r="AC31" s="140"/>
      <c r="AD31" s="140"/>
      <c r="AE31" s="140"/>
      <c r="AF31" s="50"/>
      <c r="AG31" s="20"/>
      <c r="AH31" s="49"/>
      <c r="AI31" s="46"/>
      <c r="AJ31" s="140" t="str">
        <f>IFERROR(IF(AJ26&gt;AJ30,"UP ", "DOWN ")&amp;TEXT(AJ26/AJ30-1,"0%;0%"),"")</f>
        <v/>
      </c>
      <c r="AK31" s="140"/>
      <c r="AL31" s="140"/>
      <c r="AM31" s="140"/>
      <c r="AN31" s="50"/>
      <c r="AO31" s="20"/>
      <c r="AP31" s="49"/>
      <c r="AQ31" s="46"/>
      <c r="AR31" s="140" t="str">
        <f>IFERROR(IF(AR26&gt;AR30,"UP ", "DOWN ")&amp;TEXT(AR26/AR30-1,"0%;0%"),"")</f>
        <v/>
      </c>
      <c r="AS31" s="140"/>
      <c r="AT31" s="140"/>
      <c r="AU31" s="140"/>
      <c r="AW31" s="31"/>
      <c r="AX31" s="4"/>
    </row>
    <row r="32" spans="2:51" ht="7.5" customHeight="1" x14ac:dyDescent="0.3">
      <c r="B32" s="4"/>
      <c r="C32" s="110"/>
      <c r="D32" s="110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</row>
    <row r="33" spans="2:49" x14ac:dyDescent="0.3">
      <c r="B33" s="32"/>
      <c r="C33" s="112"/>
      <c r="D33" s="11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</row>
    <row r="34" spans="2:49" x14ac:dyDescent="0.3">
      <c r="C34" s="111"/>
      <c r="D34" s="111"/>
      <c r="E34" s="1"/>
      <c r="F34" s="1"/>
      <c r="G34" s="1"/>
    </row>
  </sheetData>
  <mergeCells count="41">
    <mergeCell ref="AN3:AW4"/>
    <mergeCell ref="AN5:AW6"/>
    <mergeCell ref="AR30:AU30"/>
    <mergeCell ref="AR31:AU31"/>
    <mergeCell ref="AJ30:AM30"/>
    <mergeCell ref="AJ31:AM31"/>
    <mergeCell ref="AR26:AU28"/>
    <mergeCell ref="AJ26:AM28"/>
    <mergeCell ref="AE3:AM4"/>
    <mergeCell ref="AE5:AM6"/>
    <mergeCell ref="AR24:AU24"/>
    <mergeCell ref="AI24:AN24"/>
    <mergeCell ref="D30:G30"/>
    <mergeCell ref="D31:G31"/>
    <mergeCell ref="AB30:AE30"/>
    <mergeCell ref="AB31:AE31"/>
    <mergeCell ref="T30:W30"/>
    <mergeCell ref="T31:W31"/>
    <mergeCell ref="L30:O30"/>
    <mergeCell ref="L31:O31"/>
    <mergeCell ref="L26:O28"/>
    <mergeCell ref="D26:G28"/>
    <mergeCell ref="AB26:AE28"/>
    <mergeCell ref="T26:W28"/>
    <mergeCell ref="AA24:AF24"/>
    <mergeCell ref="T24:W24"/>
    <mergeCell ref="B2:AC7"/>
    <mergeCell ref="C19:G19"/>
    <mergeCell ref="C20:G20"/>
    <mergeCell ref="D24:G24"/>
    <mergeCell ref="L24:O24"/>
    <mergeCell ref="C9:G9"/>
    <mergeCell ref="C10:G10"/>
    <mergeCell ref="C11:G11"/>
    <mergeCell ref="C12:G12"/>
    <mergeCell ref="C13:G13"/>
    <mergeCell ref="C14:G14"/>
    <mergeCell ref="C15:G15"/>
    <mergeCell ref="C16:G16"/>
    <mergeCell ref="C17:G17"/>
    <mergeCell ref="C18:G18"/>
  </mergeCells>
  <conditionalFormatting sqref="H9:AW20">
    <cfRule type="expression" dxfId="7" priority="5">
      <formula>MONTH(H9)&lt;&gt;MONTH($C9)</formula>
    </cfRule>
    <cfRule type="expression" dxfId="6" priority="15">
      <formula>OR(H$8="S", COUNTIF(lstHolidays, H9)&gt;0)</formula>
    </cfRule>
  </conditionalFormatting>
  <conditionalFormatting sqref="AR31 AJ31 AB31">
    <cfRule type="beginsWith" dxfId="5" priority="1" operator="beginsWith" text="UP">
      <formula>LEFT(AB31,LEN("UP"))="UP"</formula>
    </cfRule>
  </conditionalFormatting>
  <dataValidations count="2">
    <dataValidation type="list" allowBlank="1" showInputMessage="1" showErrorMessage="1" sqref="AN3">
      <formula1>lstEmployees</formula1>
    </dataValidation>
    <dataValidation type="list" errorStyle="information" allowBlank="1" showInputMessage="1" errorTitle="Unknown year" error="Please" sqref="AN5:AW6">
      <formula1>"2017"</formula1>
    </dataValidation>
  </dataValidations>
  <printOptions horizontalCentered="1"/>
  <pageMargins left="0.7" right="0.7" top="0.75" bottom="0.75" header="0.3" footer="0.3"/>
  <pageSetup scale="72" fitToHeight="0" orientation="landscape" r:id="rId1"/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7486DEF-4B90-4A09-A027-C628567EDF4C}">
            <xm:f>(MONTH(H9)=MONTH($C9))*(COUNTIFS(lstEmpNames,valSelEmployee,lstSdates,"&lt;="&amp;H9,lstEDates,"&gt;="&amp;H9,lstHTypes,Settings!$D$4)&gt;0)</xm:f>
            <x14:dxf>
              <font>
                <color theme="3" tint="-0.24994659260841701"/>
              </font>
              <fill>
                <patternFill>
                  <bgColor theme="4"/>
                </patternFill>
              </fill>
            </x14:dxf>
          </x14:cfRule>
          <x14:cfRule type="expression" priority="7" id="{7BA81481-452F-4533-84C8-E4B1E4D25843}">
            <xm:f>(MONTH(H9)=MONTH($C9))*(COUNTIFS(lstEmpNames,valSelEmployee,lstSdates,"&lt;="&amp;H9,lstEDates,"&gt;="&amp;H9,lstHTypes,Settings!$D$5)&gt;0)</xm:f>
            <x14:dxf>
              <fill>
                <patternFill>
                  <bgColor theme="8"/>
                </patternFill>
              </fill>
            </x14:dxf>
          </x14:cfRule>
          <x14:cfRule type="expression" priority="8" id="{7DF86B1D-BC96-4C1F-BA74-43CC1527B439}">
            <xm:f>(MONTH(H9)=MONTH($C9))*(COUNTIFS(lstEmpNames,valSelEmployee,lstSdates,"&lt;="&amp;H9,lstEDates,"&gt;="&amp;H9,lstHTypes,Settings!$D$6)&gt;0)</xm:f>
            <x14:dxf>
              <fill>
                <patternFill>
                  <bgColor theme="6"/>
                </patternFill>
              </fill>
            </x14:dxf>
          </x14:cfRule>
          <x14:cfRule type="expression" priority="14" id="{8D7627D3-E4F4-4E54-8BDC-376A6BB31759}">
            <xm:f>(MONTH(H9)=MONTH($C9))*(COUNTIFS(lstEmpNames,valSelEmployee,lstSdates,"&lt;="&amp;H9,lstEDates,"&gt;="&amp;H9,lstHTypes,Settings!$D$7)&gt;0)</xm:f>
            <x14:dxf>
              <fill>
                <patternFill>
                  <bgColor theme="7"/>
                </patternFill>
              </fill>
            </x14:dxf>
          </x14:cfRule>
          <xm:sqref>H9:AW20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  <pageSetUpPr fitToPage="1"/>
  </sheetPr>
  <dimension ref="A1:AO12"/>
  <sheetViews>
    <sheetView showGridLines="0" showRowColHeaders="0" zoomScale="110" zoomScaleNormal="110" workbookViewId="0">
      <selection activeCell="X5" sqref="X5:AD6"/>
    </sheetView>
  </sheetViews>
  <sheetFormatPr defaultRowHeight="13.5" x14ac:dyDescent="0.3"/>
  <cols>
    <col min="1" max="1" width="1.42578125" style="69" customWidth="1"/>
    <col min="2" max="2" width="1.28515625" style="69" customWidth="1"/>
    <col min="3" max="3" width="22.42578125" style="69" customWidth="1"/>
    <col min="4" max="4" width="5.85546875" style="69" bestFit="1" customWidth="1"/>
    <col min="5" max="34" width="4" style="69" customWidth="1"/>
    <col min="35" max="35" width="19.42578125" style="69" customWidth="1"/>
    <col min="36" max="36" width="4.7109375" style="69" customWidth="1"/>
    <col min="37" max="16384" width="9.140625" style="69"/>
  </cols>
  <sheetData>
    <row r="1" spans="1:41" s="70" customFormat="1" ht="25.5" customHeight="1" x14ac:dyDescent="0.3">
      <c r="A1" s="68">
        <v>40</v>
      </c>
      <c r="B1" s="68"/>
      <c r="C1" s="68">
        <v>2017</v>
      </c>
      <c r="D1" s="68">
        <f>MONTH(DATEVALUE(X5&amp;" 1"))</f>
        <v>2</v>
      </c>
      <c r="E1" s="68"/>
      <c r="H1" s="71"/>
      <c r="J1" s="71"/>
    </row>
    <row r="2" spans="1:41" s="70" customFormat="1" ht="5.25" customHeight="1" x14ac:dyDescent="0.3">
      <c r="B2" s="72"/>
      <c r="C2" s="171" t="s">
        <v>50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U2" s="73"/>
      <c r="V2" s="73"/>
      <c r="W2" s="73"/>
      <c r="X2" s="73"/>
    </row>
    <row r="3" spans="1:41" s="70" customFormat="1" ht="11.25" customHeight="1" x14ac:dyDescent="0.3">
      <c r="B3" s="72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U3" s="73"/>
      <c r="V3" s="73"/>
      <c r="W3" s="73"/>
      <c r="X3" s="73"/>
      <c r="Y3" s="72"/>
      <c r="Z3" s="72"/>
      <c r="AA3" s="72"/>
      <c r="AB3" s="72"/>
      <c r="AC3" s="72"/>
      <c r="AD3" s="72"/>
    </row>
    <row r="4" spans="1:41" s="70" customFormat="1" ht="11.25" customHeight="1" thickBot="1" x14ac:dyDescent="0.35">
      <c r="B4" s="72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U4" s="73"/>
      <c r="V4" s="73"/>
      <c r="W4" s="73"/>
      <c r="X4" s="73"/>
      <c r="Y4" s="74"/>
      <c r="Z4" s="75"/>
      <c r="AA4" s="75"/>
      <c r="AB4" s="75"/>
      <c r="AC4" s="75"/>
      <c r="AD4" s="75"/>
    </row>
    <row r="5" spans="1:41" s="70" customFormat="1" ht="7.5" customHeight="1" x14ac:dyDescent="0.3">
      <c r="B5" s="72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U5" s="73"/>
      <c r="V5" s="73"/>
      <c r="W5" s="76"/>
      <c r="X5" s="172" t="s">
        <v>68</v>
      </c>
      <c r="Y5" s="173"/>
      <c r="Z5" s="173"/>
      <c r="AA5" s="173"/>
      <c r="AB5" s="173"/>
      <c r="AC5" s="173"/>
      <c r="AD5" s="174"/>
    </row>
    <row r="6" spans="1:41" s="70" customFormat="1" ht="16.5" customHeight="1" thickBot="1" x14ac:dyDescent="0.25">
      <c r="B6" s="72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73"/>
      <c r="U6" s="77"/>
      <c r="V6" s="73"/>
      <c r="W6" s="78"/>
      <c r="X6" s="175"/>
      <c r="Y6" s="176"/>
      <c r="Z6" s="176"/>
      <c r="AA6" s="176"/>
      <c r="AB6" s="176"/>
      <c r="AC6" s="176"/>
      <c r="AD6" s="177"/>
    </row>
    <row r="7" spans="1:41" s="70" customFormat="1" ht="16.5" customHeight="1" x14ac:dyDescent="0.2">
      <c r="B7" s="72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3"/>
      <c r="U7" s="77"/>
      <c r="V7" s="73"/>
      <c r="W7" s="78"/>
      <c r="X7" s="80"/>
      <c r="Y7" s="80"/>
      <c r="Z7" s="80"/>
      <c r="AA7" s="80"/>
      <c r="AB7" s="80"/>
      <c r="AC7" s="80"/>
      <c r="AD7" s="80"/>
    </row>
    <row r="8" spans="1:41" s="70" customFormat="1" ht="20.25" customHeight="1" thickBot="1" x14ac:dyDescent="0.35">
      <c r="B8" s="72"/>
      <c r="C8" s="81" t="s">
        <v>63</v>
      </c>
      <c r="D8" s="72"/>
      <c r="E8" s="72"/>
      <c r="F8" s="72"/>
      <c r="G8" s="178" t="s">
        <v>23</v>
      </c>
      <c r="H8" s="178"/>
      <c r="I8" s="178"/>
      <c r="J8" s="178"/>
      <c r="K8" s="72"/>
      <c r="L8" s="72"/>
      <c r="M8" s="72"/>
      <c r="N8" s="72"/>
      <c r="O8" s="178" t="s">
        <v>30</v>
      </c>
      <c r="P8" s="178"/>
      <c r="Q8" s="178"/>
      <c r="R8" s="178"/>
      <c r="S8" s="72"/>
      <c r="T8" s="72"/>
      <c r="U8" s="72"/>
      <c r="V8" s="72"/>
      <c r="W8" s="178" t="s">
        <v>2</v>
      </c>
      <c r="X8" s="178"/>
      <c r="Y8" s="178"/>
      <c r="Z8" s="178"/>
      <c r="AA8" s="72"/>
      <c r="AB8" s="72"/>
      <c r="AC8" s="72"/>
      <c r="AD8" s="179" t="s">
        <v>1</v>
      </c>
      <c r="AE8" s="179"/>
      <c r="AF8" s="179"/>
      <c r="AG8" s="179"/>
      <c r="AH8" s="90"/>
      <c r="AI8" s="72"/>
      <c r="AJ8" s="72"/>
      <c r="AK8" s="72"/>
      <c r="AL8" s="72"/>
      <c r="AM8" s="72"/>
      <c r="AN8" s="72"/>
      <c r="AO8" s="72"/>
    </row>
    <row r="9" spans="1:41" s="70" customFormat="1" ht="15" customHeight="1" x14ac:dyDescent="0.3">
      <c r="B9" s="72"/>
      <c r="C9" s="169">
        <f ca="1">SUM(G9,O9,W9,AD9)</f>
        <v>0</v>
      </c>
      <c r="D9" s="72"/>
      <c r="E9" s="72"/>
      <c r="F9" s="72"/>
      <c r="G9" s="151">
        <f ca="1">CountCcolor(INDIRECT("D13:AH" &amp; A1),Settings!E5)</f>
        <v>0</v>
      </c>
      <c r="H9" s="152"/>
      <c r="I9" s="152"/>
      <c r="J9" s="153"/>
      <c r="K9" s="82"/>
      <c r="L9" s="82"/>
      <c r="M9" s="82"/>
      <c r="N9" s="82"/>
      <c r="O9" s="151">
        <f ca="1">CountCcolor(INDIRECT("D13:AH" &amp; A1),Settings!E7)</f>
        <v>0</v>
      </c>
      <c r="P9" s="152"/>
      <c r="Q9" s="152"/>
      <c r="R9" s="153"/>
      <c r="S9" s="82"/>
      <c r="T9" s="82"/>
      <c r="U9" s="82"/>
      <c r="V9" s="82"/>
      <c r="W9" s="157">
        <f ca="1">CountCcolor(INDIRECT("D13:AH" &amp; A1),Settings!E6)</f>
        <v>0</v>
      </c>
      <c r="X9" s="158"/>
      <c r="Y9" s="158"/>
      <c r="Z9" s="159"/>
      <c r="AA9" s="82"/>
      <c r="AB9" s="82"/>
      <c r="AC9" s="82"/>
      <c r="AD9" s="163">
        <f ca="1">CountCcolor(INDIRECT("D13:AH" &amp; A1),Settings!E4)</f>
        <v>0</v>
      </c>
      <c r="AE9" s="164"/>
      <c r="AF9" s="164"/>
      <c r="AG9" s="165"/>
      <c r="AH9" s="91"/>
      <c r="AI9" s="72"/>
      <c r="AJ9" s="72"/>
      <c r="AK9" s="72"/>
      <c r="AL9" s="72"/>
      <c r="AM9" s="72"/>
      <c r="AN9" s="72"/>
      <c r="AO9" s="72"/>
    </row>
    <row r="10" spans="1:41" s="70" customFormat="1" ht="15" customHeight="1" thickBot="1" x14ac:dyDescent="0.5">
      <c r="B10" s="72"/>
      <c r="C10" s="170"/>
      <c r="D10" s="72"/>
      <c r="E10" s="72"/>
      <c r="F10" s="72"/>
      <c r="G10" s="154"/>
      <c r="H10" s="155"/>
      <c r="I10" s="155"/>
      <c r="J10" s="156"/>
      <c r="K10" s="82"/>
      <c r="L10" s="82"/>
      <c r="M10" s="82"/>
      <c r="N10" s="82"/>
      <c r="O10" s="154"/>
      <c r="P10" s="155"/>
      <c r="Q10" s="155"/>
      <c r="R10" s="156"/>
      <c r="S10" s="82"/>
      <c r="T10" s="82"/>
      <c r="U10" s="82"/>
      <c r="V10" s="87"/>
      <c r="W10" s="160"/>
      <c r="X10" s="161"/>
      <c r="Y10" s="161"/>
      <c r="Z10" s="162"/>
      <c r="AA10" s="82"/>
      <c r="AB10" s="82"/>
      <c r="AC10" s="82"/>
      <c r="AD10" s="166"/>
      <c r="AE10" s="167"/>
      <c r="AF10" s="167"/>
      <c r="AG10" s="168"/>
      <c r="AH10" s="91"/>
      <c r="AI10" s="72"/>
      <c r="AJ10" s="72"/>
      <c r="AK10" s="72"/>
      <c r="AL10" s="72"/>
      <c r="AM10" s="72"/>
      <c r="AN10" s="72"/>
      <c r="AO10" s="72"/>
    </row>
    <row r="11" spans="1:41" s="70" customFormat="1" ht="8.25" customHeight="1" thickBot="1" x14ac:dyDescent="0.25">
      <c r="B11" s="72"/>
      <c r="D11" s="72"/>
      <c r="E11" s="72"/>
      <c r="F11" s="72"/>
      <c r="G11" s="83"/>
      <c r="H11" s="83"/>
      <c r="I11" s="83"/>
      <c r="J11" s="83"/>
      <c r="K11" s="84"/>
      <c r="L11" s="84"/>
      <c r="M11" s="84"/>
      <c r="N11" s="84"/>
      <c r="O11" s="83"/>
      <c r="P11" s="83"/>
      <c r="Q11" s="83"/>
      <c r="R11" s="83"/>
      <c r="S11" s="84"/>
      <c r="T11" s="84"/>
      <c r="U11" s="84"/>
      <c r="V11" s="84"/>
      <c r="W11" s="85"/>
      <c r="X11" s="85"/>
      <c r="Y11" s="85"/>
      <c r="Z11" s="85"/>
      <c r="AA11" s="84"/>
      <c r="AB11" s="84"/>
      <c r="AC11" s="84"/>
      <c r="AD11" s="86"/>
      <c r="AE11" s="86"/>
      <c r="AF11" s="86"/>
      <c r="AG11" s="86"/>
      <c r="AH11" s="86"/>
      <c r="AI11" s="84"/>
      <c r="AJ11" s="72"/>
      <c r="AK11" s="72"/>
      <c r="AL11" s="72"/>
      <c r="AM11" s="72"/>
      <c r="AN11" s="72"/>
      <c r="AO11" s="72"/>
    </row>
    <row r="12" spans="1:41" s="70" customFormat="1" ht="33.75" customHeight="1" thickBot="1" x14ac:dyDescent="0.35">
      <c r="B12" s="72"/>
      <c r="C12" s="88" t="s">
        <v>58</v>
      </c>
      <c r="D12" s="115">
        <f>DATE('Combined Leave View'!$C$1,'Combined Leave View'!$D$1,1)</f>
        <v>42767</v>
      </c>
      <c r="E12" s="115">
        <f>D12+1</f>
        <v>42768</v>
      </c>
      <c r="F12" s="115">
        <f t="shared" ref="F12" si="0">E12+1</f>
        <v>42769</v>
      </c>
      <c r="G12" s="115">
        <f t="shared" ref="G12" si="1">F12+1</f>
        <v>42770</v>
      </c>
      <c r="H12" s="115">
        <f t="shared" ref="H12" si="2">G12+1</f>
        <v>42771</v>
      </c>
      <c r="I12" s="115">
        <f t="shared" ref="I12" si="3">H12+1</f>
        <v>42772</v>
      </c>
      <c r="J12" s="115">
        <f t="shared" ref="J12" si="4">I12+1</f>
        <v>42773</v>
      </c>
      <c r="K12" s="115">
        <f t="shared" ref="K12" si="5">J12+1</f>
        <v>42774</v>
      </c>
      <c r="L12" s="115">
        <f t="shared" ref="L12" si="6">K12+1</f>
        <v>42775</v>
      </c>
      <c r="M12" s="115">
        <f t="shared" ref="M12" si="7">L12+1</f>
        <v>42776</v>
      </c>
      <c r="N12" s="115">
        <f t="shared" ref="N12" si="8">M12+1</f>
        <v>42777</v>
      </c>
      <c r="O12" s="115">
        <f t="shared" ref="O12" si="9">N12+1</f>
        <v>42778</v>
      </c>
      <c r="P12" s="115">
        <f t="shared" ref="P12" si="10">O12+1</f>
        <v>42779</v>
      </c>
      <c r="Q12" s="115">
        <f t="shared" ref="Q12" si="11">P12+1</f>
        <v>42780</v>
      </c>
      <c r="R12" s="115">
        <f t="shared" ref="R12" si="12">Q12+1</f>
        <v>42781</v>
      </c>
      <c r="S12" s="115">
        <f t="shared" ref="S12" si="13">R12+1</f>
        <v>42782</v>
      </c>
      <c r="T12" s="115">
        <f t="shared" ref="T12" si="14">S12+1</f>
        <v>42783</v>
      </c>
      <c r="U12" s="115">
        <f t="shared" ref="U12" si="15">T12+1</f>
        <v>42784</v>
      </c>
      <c r="V12" s="115">
        <f t="shared" ref="V12" si="16">U12+1</f>
        <v>42785</v>
      </c>
      <c r="W12" s="115">
        <f t="shared" ref="W12" si="17">V12+1</f>
        <v>42786</v>
      </c>
      <c r="X12" s="115">
        <f t="shared" ref="X12" si="18">W12+1</f>
        <v>42787</v>
      </c>
      <c r="Y12" s="115">
        <f t="shared" ref="Y12" si="19">X12+1</f>
        <v>42788</v>
      </c>
      <c r="Z12" s="115">
        <f t="shared" ref="Z12" si="20">Y12+1</f>
        <v>42789</v>
      </c>
      <c r="AA12" s="115">
        <f t="shared" ref="AA12" si="21">Z12+1</f>
        <v>42790</v>
      </c>
      <c r="AB12" s="115">
        <f t="shared" ref="AB12" si="22">AA12+1</f>
        <v>42791</v>
      </c>
      <c r="AC12" s="115">
        <f t="shared" ref="AC12" si="23">AB12+1</f>
        <v>42792</v>
      </c>
      <c r="AD12" s="115">
        <f t="shared" ref="AD12" si="24">AC12+1</f>
        <v>42793</v>
      </c>
      <c r="AE12" s="115">
        <f t="shared" ref="AE12" si="25">AD12+1</f>
        <v>42794</v>
      </c>
      <c r="AF12" s="115">
        <f t="shared" ref="AF12" si="26">AE12+1</f>
        <v>42795</v>
      </c>
      <c r="AG12" s="116">
        <f t="shared" ref="AG12:AH12" si="27">AF12+1</f>
        <v>42796</v>
      </c>
      <c r="AH12" s="116">
        <f t="shared" si="27"/>
        <v>42797</v>
      </c>
      <c r="AI12" s="89" t="s">
        <v>59</v>
      </c>
      <c r="AJ12" s="72"/>
      <c r="AK12" s="72"/>
      <c r="AL12" s="72"/>
      <c r="AM12" s="72"/>
      <c r="AN12" s="72"/>
      <c r="AO12" s="72"/>
    </row>
  </sheetData>
  <dataConsolidate/>
  <mergeCells count="11">
    <mergeCell ref="C2:S6"/>
    <mergeCell ref="X5:AD6"/>
    <mergeCell ref="G8:J8"/>
    <mergeCell ref="O8:R8"/>
    <mergeCell ref="W8:Z8"/>
    <mergeCell ref="AD8:AG8"/>
    <mergeCell ref="G9:J10"/>
    <mergeCell ref="O9:R10"/>
    <mergeCell ref="W9:Z10"/>
    <mergeCell ref="AD9:AG10"/>
    <mergeCell ref="C9:C10"/>
  </mergeCells>
  <conditionalFormatting sqref="G9">
    <cfRule type="dataBar" priority="8">
      <dataBar>
        <cfvo type="num" val="0"/>
        <cfvo type="num" val="50"/>
        <color rgb="FF92D050"/>
      </dataBar>
      <extLst>
        <ext xmlns:x14="http://schemas.microsoft.com/office/spreadsheetml/2009/9/main" uri="{B025F937-C7B1-47D3-B67F-A62EFF666E3E}">
          <x14:id>{9E5D0605-5C35-4594-BBF8-4DC7AC2F8FE8}</x14:id>
        </ext>
      </extLst>
    </cfRule>
  </conditionalFormatting>
  <conditionalFormatting sqref="O9">
    <cfRule type="dataBar" priority="7">
      <dataBar>
        <cfvo type="num" val="0"/>
        <cfvo type="num" val="50"/>
        <color rgb="FFFF3399"/>
      </dataBar>
      <extLst>
        <ext xmlns:x14="http://schemas.microsoft.com/office/spreadsheetml/2009/9/main" uri="{B025F937-C7B1-47D3-B67F-A62EFF666E3E}">
          <x14:id>{976459F2-7B96-4077-BFEB-C86F5861EFB9}</x14:id>
        </ext>
      </extLst>
    </cfRule>
  </conditionalFormatting>
  <conditionalFormatting sqref="W9">
    <cfRule type="dataBar" priority="6">
      <dataBar>
        <cfvo type="num" val="0"/>
        <cfvo type="num" val="50"/>
        <color rgb="FF00B0F0"/>
      </dataBar>
      <extLst>
        <ext xmlns:x14="http://schemas.microsoft.com/office/spreadsheetml/2009/9/main" uri="{B025F937-C7B1-47D3-B67F-A62EFF666E3E}">
          <x14:id>{6DE89A3A-DAF4-4ADF-95DD-7FFC23072422}</x14:id>
        </ext>
      </extLst>
    </cfRule>
  </conditionalFormatting>
  <conditionalFormatting sqref="AD9">
    <cfRule type="dataBar" priority="5">
      <dataBar>
        <cfvo type="num" val="0"/>
        <cfvo type="num" val="50"/>
        <color rgb="FFFF0000"/>
      </dataBar>
      <extLst>
        <ext xmlns:x14="http://schemas.microsoft.com/office/spreadsheetml/2009/9/main" uri="{B025F937-C7B1-47D3-B67F-A62EFF666E3E}">
          <x14:id>{AB8D9172-BB1B-423A-82AC-4819D5DEC58F}</x14:id>
        </ext>
      </extLst>
    </cfRule>
  </conditionalFormatting>
  <conditionalFormatting sqref="C9:C10">
    <cfRule type="dataBar" priority="1">
      <dataBar>
        <cfvo type="num" val="0"/>
        <cfvo type="num" val="50"/>
        <color rgb="FFFFFF00"/>
      </dataBar>
      <extLst>
        <ext xmlns:x14="http://schemas.microsoft.com/office/spreadsheetml/2009/9/main" uri="{B025F937-C7B1-47D3-B67F-A62EFF666E3E}">
          <x14:id>{82045618-95F3-4C68-B657-FA764926C28B}</x14:id>
        </ext>
      </extLst>
    </cfRule>
  </conditionalFormatting>
  <dataValidations count="2">
    <dataValidation type="list" errorStyle="information" allowBlank="1" showInputMessage="1" errorTitle="Unknown year" error="Please" sqref="X5:AD6">
      <formula1>"January,February,March,April,May,June,July,August,September,October,November,December"</formula1>
    </dataValidation>
    <dataValidation errorStyle="information" allowBlank="1" showInputMessage="1" errorTitle="Unknown year" error="Please" sqref="AI4 AE5:AI7 X7:AD7"/>
  </dataValidations>
  <printOptions horizontalCentered="1"/>
  <pageMargins left="0.7" right="0.7" top="0.75" bottom="0.75" header="0.3" footer="0.3"/>
  <pageSetup scale="78" fitToHeight="0" orientation="landscape" r:id="rId1"/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5D0605-5C35-4594-BBF8-4DC7AC2F8FE8}">
            <x14:dataBar minLength="0" maxLength="100" border="1" direction="leftToRight">
              <x14:cfvo type="num">
                <xm:f>0</xm:f>
              </x14:cfvo>
              <x14:cfvo type="num">
                <xm:f>50</xm:f>
              </x14:cfvo>
              <x14:borderColor rgb="FF92D050"/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976459F2-7B96-4077-BFEB-C86F5861EFB9}">
            <x14:dataBar minLength="0" maxLength="100" border="1">
              <x14:cfvo type="num">
                <xm:f>0</xm:f>
              </x14:cfvo>
              <x14:cfvo type="num">
                <xm:f>50</xm:f>
              </x14:cfvo>
              <x14:borderColor rgb="FFFF3399"/>
              <x14:negativeFill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6DE89A3A-DAF4-4ADF-95DD-7FFC23072422}">
            <x14:dataBar minLength="0" maxLength="100" border="1">
              <x14:cfvo type="num">
                <xm:f>0</xm:f>
              </x14:cfvo>
              <x14:cfvo type="num">
                <xm:f>50</xm:f>
              </x14:cfvo>
              <x14:borderColor rgb="FF00B0F0"/>
              <x14:negativeFill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AB8D9172-BB1B-423A-82AC-4819D5DEC58F}">
            <x14:dataBar minLength="0" maxLength="100" border="1">
              <x14:cfvo type="num">
                <xm:f>0</xm:f>
              </x14:cfvo>
              <x14:cfvo type="num">
                <xm:f>50</xm:f>
              </x14:cfvo>
              <x14:borderColor rgb="FFFF0000"/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82045618-95F3-4C68-B657-FA764926C28B}">
            <x14:dataBar minLength="0" maxLength="100" border="1">
              <x14:cfvo type="num">
                <xm:f>0</xm:f>
              </x14:cfvo>
              <x14:cfvo type="num">
                <xm:f>50</xm:f>
              </x14:cfvo>
              <x14:borderColor rgb="FF92D050"/>
              <x14:negativeFillColor rgb="FFFF0000"/>
              <x14:axisColor rgb="FF000000"/>
            </x14:dataBar>
          </x14:cfRule>
          <xm:sqref>C9:C10</xm:sqref>
        </x14:conditionalFormatting>
        <x14:conditionalFormatting xmlns:xm="http://schemas.microsoft.com/office/excel/2006/main">
          <x14:cfRule type="expression" priority="192" id="{52E95A60-FBDF-4E97-B122-E259F9F01B60}">
            <xm:f>COUNTIFS(lstEmpNames,valSelEmployee12,lstSdates,"&lt;="&amp;#REF!,lstEDates,"&gt;="&amp;#REF!,lstHTypes,'C:\Utilities Under Modification\Employee Vacation Calender\[Team Leave Calendar.xlsm]Settings'!#REF!)&gt;0</xm:f>
            <x14:dxf>
              <fill>
                <patternFill>
                  <bgColor rgb="FF92D050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-0.249977111117893"/>
    <pageSetUpPr autoPageBreaks="0" fitToPage="1"/>
  </sheetPr>
  <dimension ref="A1:AB4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59" sqref="J59"/>
    </sheetView>
  </sheetViews>
  <sheetFormatPr defaultRowHeight="18.75" customHeight="1" x14ac:dyDescent="0.3"/>
  <cols>
    <col min="1" max="1" width="3.42578125" hidden="1" customWidth="1"/>
    <col min="2" max="2" width="25.7109375" customWidth="1"/>
    <col min="3" max="3" width="17.28515625" style="66" customWidth="1"/>
    <col min="4" max="5" width="17.28515625" style="53" customWidth="1"/>
    <col min="6" max="6" width="18.42578125" style="53" customWidth="1"/>
    <col min="7" max="7" width="12.28515625" style="53" customWidth="1"/>
  </cols>
  <sheetData>
    <row r="1" spans="1:28" ht="53.25" customHeight="1" x14ac:dyDescent="0.3">
      <c r="A1" s="56"/>
      <c r="B1" s="56"/>
      <c r="C1" s="63"/>
      <c r="D1" s="57"/>
      <c r="E1" s="57"/>
      <c r="F1" s="57"/>
      <c r="G1" s="57"/>
    </row>
    <row r="2" spans="1:28" ht="19.5" customHeight="1" x14ac:dyDescent="0.3">
      <c r="A2" s="56"/>
      <c r="B2" s="92" t="s">
        <v>64</v>
      </c>
      <c r="C2" s="64"/>
      <c r="D2" s="58"/>
      <c r="E2" s="58"/>
      <c r="F2" s="58"/>
      <c r="G2" s="58"/>
    </row>
    <row r="3" spans="1:28" ht="24.75" customHeight="1" x14ac:dyDescent="0.3">
      <c r="A3" s="56"/>
      <c r="B3" s="59" t="s">
        <v>0</v>
      </c>
      <c r="C3" s="65" t="s">
        <v>9</v>
      </c>
      <c r="D3" s="60" t="s">
        <v>10</v>
      </c>
      <c r="E3" s="106" t="s">
        <v>52</v>
      </c>
      <c r="F3" s="60" t="s">
        <v>24</v>
      </c>
      <c r="G3" s="60" t="s">
        <v>17</v>
      </c>
      <c r="H3" s="93"/>
      <c r="AB3" t="s">
        <v>39</v>
      </c>
    </row>
    <row r="4" spans="1:28" ht="18.75" customHeight="1" x14ac:dyDescent="0.3">
      <c r="A4" s="56" t="s">
        <v>38</v>
      </c>
      <c r="B4" s="117"/>
      <c r="C4" s="63"/>
      <c r="D4" s="63"/>
      <c r="E4" s="107"/>
      <c r="F4" s="57"/>
      <c r="G4" s="114"/>
    </row>
  </sheetData>
  <dataValidations count="2">
    <dataValidation type="list" allowBlank="1" showInputMessage="1" showErrorMessage="1" sqref="F4">
      <formula1>lstHolidayTypes</formula1>
    </dataValidation>
    <dataValidation type="list" errorStyle="information" allowBlank="1" showInputMessage="1" showErrorMessage="1" errorTitle="Unknown Employee" error="Please select an employee from the list. To modify the list, on the Settings tab, add or remove employees from the List of Employees table." sqref="B4">
      <formula1>lstEmployees</formula1>
    </dataValidation>
  </dataValidations>
  <pageMargins left="0.7" right="0.7" top="0.75" bottom="0.75" header="0.3" footer="0.3"/>
  <pageSetup fitToHeight="0" orientation="portrait" r:id="rId1"/>
  <drawing r:id="rId2"/>
  <picture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fitToPage="1"/>
  </sheetPr>
  <dimension ref="A1:K502"/>
  <sheetViews>
    <sheetView showGridLines="0" workbookViewId="0">
      <selection activeCell="E40" sqref="E40"/>
    </sheetView>
  </sheetViews>
  <sheetFormatPr defaultRowHeight="15" x14ac:dyDescent="0.3"/>
  <cols>
    <col min="1" max="1" width="3.42578125" customWidth="1"/>
    <col min="2" max="2" width="26.5703125" customWidth="1"/>
    <col min="3" max="3" width="3.28515625" customWidth="1"/>
    <col min="4" max="4" width="17.7109375" customWidth="1"/>
    <col min="5" max="5" width="18.85546875" customWidth="1"/>
    <col min="6" max="6" width="4.28515625" customWidth="1"/>
    <col min="7" max="7" width="21.28515625" customWidth="1"/>
    <col min="8" max="8" width="22.85546875" customWidth="1"/>
    <col min="9" max="9" width="3.5703125" customWidth="1"/>
    <col min="10" max="10" width="14.42578125" bestFit="1" customWidth="1"/>
    <col min="11" max="11" width="15" bestFit="1" customWidth="1"/>
  </cols>
  <sheetData>
    <row r="1" spans="1:11" ht="53.25" customHeight="1" x14ac:dyDescent="0.3">
      <c r="A1" s="56"/>
      <c r="B1" s="56"/>
      <c r="C1" s="56"/>
      <c r="D1" s="56"/>
      <c r="E1" s="56"/>
      <c r="F1" s="56"/>
      <c r="G1" s="56"/>
    </row>
    <row r="2" spans="1:11" ht="13.5" customHeight="1" x14ac:dyDescent="0.3">
      <c r="A2" s="56"/>
      <c r="B2" s="96"/>
      <c r="C2" s="96"/>
      <c r="D2" s="96"/>
      <c r="E2" s="96"/>
      <c r="F2" s="96"/>
      <c r="G2" s="96"/>
      <c r="H2" s="18"/>
    </row>
    <row r="3" spans="1:11" ht="17.25" customHeight="1" x14ac:dyDescent="0.3">
      <c r="A3" s="56"/>
      <c r="B3" s="59" t="s">
        <v>3</v>
      </c>
      <c r="C3" s="56"/>
      <c r="D3" s="59" t="s">
        <v>24</v>
      </c>
      <c r="E3" s="97" t="s">
        <v>51</v>
      </c>
      <c r="F3" s="98"/>
      <c r="G3" s="59" t="s">
        <v>16</v>
      </c>
      <c r="H3" s="45" t="s">
        <v>18</v>
      </c>
      <c r="J3" t="s">
        <v>60</v>
      </c>
      <c r="K3" t="s">
        <v>61</v>
      </c>
    </row>
    <row r="4" spans="1:11" ht="17.25" customHeight="1" x14ac:dyDescent="0.3">
      <c r="A4" s="56"/>
      <c r="B4" s="95" t="s">
        <v>57</v>
      </c>
      <c r="C4" s="56"/>
      <c r="D4" s="59" t="s">
        <v>1</v>
      </c>
      <c r="E4" s="99"/>
      <c r="F4" s="100"/>
      <c r="G4" s="101">
        <v>42736</v>
      </c>
      <c r="H4" s="19" t="s">
        <v>19</v>
      </c>
    </row>
    <row r="5" spans="1:11" ht="17.25" customHeight="1" x14ac:dyDescent="0.3">
      <c r="A5" s="56"/>
      <c r="B5" s="95" t="s">
        <v>32</v>
      </c>
      <c r="C5" s="56"/>
      <c r="D5" s="59" t="s">
        <v>23</v>
      </c>
      <c r="E5" s="102"/>
      <c r="F5" s="100"/>
      <c r="G5" s="101">
        <v>42761</v>
      </c>
      <c r="H5" s="52" t="s">
        <v>28</v>
      </c>
    </row>
    <row r="6" spans="1:11" ht="17.25" customHeight="1" x14ac:dyDescent="0.3">
      <c r="A6" s="56"/>
      <c r="B6" s="59" t="s">
        <v>33</v>
      </c>
      <c r="C6" s="56"/>
      <c r="D6" s="59" t="s">
        <v>2</v>
      </c>
      <c r="E6" s="103"/>
      <c r="F6" s="100"/>
      <c r="G6" s="101">
        <v>42962</v>
      </c>
      <c r="H6" s="52" t="s">
        <v>21</v>
      </c>
    </row>
    <row r="7" spans="1:11" ht="17.25" customHeight="1" x14ac:dyDescent="0.3">
      <c r="A7" s="56"/>
      <c r="B7" s="95" t="s">
        <v>62</v>
      </c>
      <c r="C7" s="56"/>
      <c r="D7" s="59" t="s">
        <v>30</v>
      </c>
      <c r="E7" s="104"/>
      <c r="F7" s="100"/>
      <c r="G7" s="101">
        <v>43010</v>
      </c>
      <c r="H7" s="52" t="s">
        <v>29</v>
      </c>
    </row>
    <row r="8" spans="1:11" ht="17.25" customHeight="1" x14ac:dyDescent="0.3">
      <c r="A8" s="56"/>
      <c r="B8" s="59" t="s">
        <v>34</v>
      </c>
      <c r="C8" s="56"/>
      <c r="D8" s="59"/>
      <c r="E8" s="105"/>
      <c r="F8" s="100"/>
      <c r="G8" s="101">
        <v>43094</v>
      </c>
      <c r="H8" s="19" t="s">
        <v>20</v>
      </c>
    </row>
    <row r="9" spans="1:11" ht="17.25" customHeight="1" x14ac:dyDescent="0.3">
      <c r="A9" s="56"/>
      <c r="B9" s="95" t="s">
        <v>44</v>
      </c>
      <c r="C9" s="56"/>
      <c r="D9" s="56"/>
      <c r="E9" s="56"/>
      <c r="F9" s="56"/>
      <c r="G9" s="101">
        <v>42807</v>
      </c>
      <c r="H9" s="52" t="s">
        <v>45</v>
      </c>
    </row>
    <row r="10" spans="1:11" ht="17.25" customHeight="1" x14ac:dyDescent="0.3">
      <c r="A10" s="56"/>
      <c r="B10" s="95" t="s">
        <v>71</v>
      </c>
      <c r="C10" s="56"/>
      <c r="D10" s="56"/>
      <c r="E10" s="56"/>
      <c r="F10" s="56"/>
      <c r="G10" s="101"/>
      <c r="H10" s="19"/>
    </row>
    <row r="11" spans="1:11" ht="17.25" customHeight="1" x14ac:dyDescent="0.3">
      <c r="A11" s="56"/>
      <c r="B11" s="95" t="s">
        <v>35</v>
      </c>
      <c r="C11" s="56"/>
      <c r="D11" s="56"/>
      <c r="E11" s="56"/>
      <c r="F11" s="56"/>
      <c r="G11" s="56"/>
    </row>
    <row r="12" spans="1:11" ht="17.25" customHeight="1" x14ac:dyDescent="0.3">
      <c r="A12" s="56"/>
      <c r="B12" s="59" t="s">
        <v>65</v>
      </c>
      <c r="C12" s="56"/>
      <c r="D12" s="56"/>
      <c r="E12" s="56"/>
      <c r="F12" s="56"/>
      <c r="G12" s="56"/>
    </row>
    <row r="13" spans="1:11" ht="17.25" customHeight="1" x14ac:dyDescent="0.3">
      <c r="A13" s="56"/>
      <c r="B13" s="95" t="s">
        <v>53</v>
      </c>
      <c r="C13" s="56"/>
      <c r="D13" s="56"/>
      <c r="E13" s="56"/>
      <c r="F13" s="56"/>
      <c r="G13" s="56"/>
    </row>
    <row r="14" spans="1:11" ht="17.25" customHeight="1" x14ac:dyDescent="0.3">
      <c r="A14" s="56"/>
      <c r="B14" s="59" t="s">
        <v>36</v>
      </c>
      <c r="C14" s="56"/>
      <c r="D14" s="56"/>
      <c r="E14" s="56"/>
      <c r="F14" s="56"/>
      <c r="G14" s="56"/>
    </row>
    <row r="15" spans="1:11" ht="17.25" customHeight="1" x14ac:dyDescent="0.3">
      <c r="A15" s="56"/>
      <c r="B15" s="95" t="s">
        <v>66</v>
      </c>
      <c r="C15" s="56"/>
      <c r="D15" s="56"/>
      <c r="E15" s="56"/>
      <c r="F15" s="56"/>
      <c r="G15" s="56"/>
    </row>
    <row r="16" spans="1:11" ht="17.25" customHeight="1" x14ac:dyDescent="0.3">
      <c r="A16" s="56"/>
      <c r="B16" s="95" t="s">
        <v>73</v>
      </c>
      <c r="C16" s="56"/>
      <c r="D16" s="56"/>
      <c r="E16" s="56"/>
      <c r="F16" s="56"/>
      <c r="G16" s="56"/>
    </row>
    <row r="17" spans="1:7" ht="17.25" customHeight="1" x14ac:dyDescent="0.3">
      <c r="A17" s="56"/>
      <c r="B17" s="95" t="s">
        <v>72</v>
      </c>
      <c r="C17" s="56"/>
      <c r="D17" s="56"/>
      <c r="E17" s="56"/>
      <c r="F17" s="56"/>
      <c r="G17" s="56"/>
    </row>
    <row r="18" spans="1:7" ht="17.25" customHeight="1" x14ac:dyDescent="0.3">
      <c r="A18" s="56"/>
      <c r="B18" s="59" t="s">
        <v>54</v>
      </c>
      <c r="C18" s="56"/>
      <c r="D18" s="56"/>
      <c r="E18" s="56"/>
      <c r="F18" s="56"/>
      <c r="G18" s="56"/>
    </row>
    <row r="19" spans="1:7" ht="17.25" customHeight="1" x14ac:dyDescent="0.3">
      <c r="A19" s="56"/>
      <c r="B19" s="95" t="s">
        <v>54</v>
      </c>
      <c r="C19" s="56"/>
      <c r="D19" s="56"/>
      <c r="E19" s="56"/>
      <c r="F19" s="56"/>
      <c r="G19" s="56"/>
    </row>
    <row r="20" spans="1:7" ht="17.25" customHeight="1" x14ac:dyDescent="0.3">
      <c r="A20" s="56"/>
      <c r="B20" s="95" t="s">
        <v>37</v>
      </c>
      <c r="C20" s="56"/>
      <c r="D20" s="56"/>
      <c r="E20" s="56"/>
      <c r="F20" s="56"/>
      <c r="G20" s="56"/>
    </row>
    <row r="21" spans="1:7" ht="17.25" customHeight="1" x14ac:dyDescent="0.3">
      <c r="A21" s="56"/>
      <c r="B21" s="95" t="s">
        <v>55</v>
      </c>
      <c r="C21" s="56"/>
      <c r="D21" s="56"/>
      <c r="E21" s="56"/>
      <c r="F21" s="56"/>
      <c r="G21" s="56"/>
    </row>
    <row r="22" spans="1:7" ht="17.25" customHeight="1" x14ac:dyDescent="0.3">
      <c r="A22" s="56"/>
      <c r="B22" s="95" t="s">
        <v>56</v>
      </c>
      <c r="C22" s="56"/>
      <c r="D22" s="56"/>
      <c r="E22" s="56"/>
      <c r="F22" s="56"/>
      <c r="G22" s="56"/>
    </row>
    <row r="23" spans="1:7" ht="17.25" customHeight="1" x14ac:dyDescent="0.3">
      <c r="A23" s="56"/>
      <c r="B23" s="95" t="s">
        <v>38</v>
      </c>
      <c r="C23" s="56"/>
      <c r="D23" s="56"/>
      <c r="E23" s="56"/>
      <c r="F23" s="56"/>
      <c r="G23" s="56"/>
    </row>
    <row r="24" spans="1:7" ht="17.25" customHeight="1" x14ac:dyDescent="0.3">
      <c r="A24" s="56"/>
      <c r="B24" s="95" t="s">
        <v>39</v>
      </c>
      <c r="C24" s="56"/>
      <c r="D24" s="56"/>
      <c r="E24" s="56"/>
      <c r="F24" s="56"/>
      <c r="G24" s="56"/>
    </row>
    <row r="25" spans="1:7" ht="17.25" customHeight="1" x14ac:dyDescent="0.3">
      <c r="A25" s="56"/>
      <c r="B25" s="95" t="s">
        <v>70</v>
      </c>
      <c r="C25" s="56"/>
      <c r="D25" s="56"/>
      <c r="E25" s="56"/>
      <c r="F25" s="56"/>
      <c r="G25" s="56"/>
    </row>
    <row r="26" spans="1:7" ht="17.25" customHeight="1" x14ac:dyDescent="0.3">
      <c r="A26" s="56"/>
      <c r="B26" s="95" t="s">
        <v>40</v>
      </c>
      <c r="C26" s="56"/>
      <c r="D26" s="56"/>
      <c r="E26" s="56"/>
      <c r="F26" s="56"/>
      <c r="G26" s="56"/>
    </row>
    <row r="27" spans="1:7" ht="17.25" customHeight="1" x14ac:dyDescent="0.3">
      <c r="A27" s="56"/>
      <c r="B27" s="95" t="s">
        <v>69</v>
      </c>
      <c r="C27" s="56"/>
      <c r="D27" s="56"/>
      <c r="E27" s="56"/>
      <c r="F27" s="56"/>
      <c r="G27" s="56"/>
    </row>
    <row r="28" spans="1:7" ht="17.25" customHeight="1" x14ac:dyDescent="0.3">
      <c r="A28" s="56"/>
      <c r="B28" s="95" t="s">
        <v>41</v>
      </c>
      <c r="C28" s="56"/>
      <c r="D28" s="56"/>
      <c r="E28" s="56"/>
      <c r="F28" s="56"/>
      <c r="G28" s="56"/>
    </row>
    <row r="29" spans="1:7" ht="17.25" customHeight="1" x14ac:dyDescent="0.3">
      <c r="A29" s="56"/>
      <c r="B29" s="95" t="s">
        <v>42</v>
      </c>
      <c r="C29" s="56"/>
      <c r="D29" s="56"/>
      <c r="E29" s="56"/>
      <c r="F29" s="56"/>
      <c r="G29" s="56"/>
    </row>
    <row r="30" spans="1:7" ht="17.25" customHeight="1" x14ac:dyDescent="0.3">
      <c r="A30" s="56"/>
      <c r="B30" s="95" t="s">
        <v>67</v>
      </c>
      <c r="C30" s="56"/>
      <c r="D30" s="56"/>
      <c r="E30" s="56"/>
      <c r="F30" s="56"/>
      <c r="G30" s="56"/>
    </row>
    <row r="31" spans="1:7" ht="17.25" customHeight="1" x14ac:dyDescent="0.3">
      <c r="A31" s="56"/>
      <c r="B31" s="95" t="s">
        <v>43</v>
      </c>
      <c r="C31" s="56"/>
      <c r="D31" s="56"/>
      <c r="E31" s="56"/>
      <c r="F31" s="56"/>
      <c r="G31" s="56"/>
    </row>
    <row r="32" spans="1:7" ht="17.25" customHeight="1" x14ac:dyDescent="0.3">
      <c r="A32" s="56"/>
      <c r="B32" s="95" t="s">
        <v>74</v>
      </c>
      <c r="C32" s="56"/>
      <c r="D32" s="56"/>
      <c r="E32" s="56"/>
      <c r="F32" s="56"/>
      <c r="G32" s="56"/>
    </row>
    <row r="33" spans="1:7" ht="17.25" customHeight="1" x14ac:dyDescent="0.3">
      <c r="A33" s="56"/>
      <c r="B33" s="95" t="s">
        <v>75</v>
      </c>
      <c r="C33" s="56"/>
      <c r="D33" s="56"/>
      <c r="E33" s="56"/>
      <c r="F33" s="56"/>
      <c r="G33" s="56"/>
    </row>
    <row r="34" spans="1:7" ht="17.25" customHeight="1" x14ac:dyDescent="0.3">
      <c r="A34" s="56"/>
      <c r="B34" s="95" t="s">
        <v>76</v>
      </c>
      <c r="C34" s="56"/>
      <c r="D34" s="56"/>
      <c r="E34" s="56"/>
      <c r="F34" s="56"/>
      <c r="G34" s="56"/>
    </row>
    <row r="35" spans="1:7" ht="17.25" customHeight="1" x14ac:dyDescent="0.3">
      <c r="A35" s="56"/>
      <c r="B35" s="118" t="s">
        <v>82</v>
      </c>
      <c r="C35" s="56"/>
      <c r="D35" s="56"/>
      <c r="E35" s="56"/>
      <c r="F35" s="56"/>
      <c r="G35" s="56"/>
    </row>
    <row r="36" spans="1:7" ht="17.25" customHeight="1" x14ac:dyDescent="0.3">
      <c r="A36" s="56"/>
      <c r="B36" s="95" t="s">
        <v>77</v>
      </c>
      <c r="C36" s="56"/>
      <c r="D36" s="56"/>
      <c r="E36" s="56"/>
      <c r="F36" s="56"/>
      <c r="G36" s="56"/>
    </row>
    <row r="37" spans="1:7" ht="17.25" customHeight="1" x14ac:dyDescent="0.3">
      <c r="A37" s="56"/>
      <c r="B37" s="95" t="s">
        <v>78</v>
      </c>
      <c r="C37" s="56"/>
      <c r="D37" s="56"/>
      <c r="E37" s="56"/>
      <c r="F37" s="56"/>
      <c r="G37" s="56"/>
    </row>
    <row r="38" spans="1:7" ht="17.25" customHeight="1" x14ac:dyDescent="0.3">
      <c r="A38" s="56"/>
      <c r="B38" s="95" t="s">
        <v>79</v>
      </c>
      <c r="C38" s="56"/>
      <c r="D38" s="56"/>
      <c r="E38" s="56"/>
      <c r="F38" s="56"/>
      <c r="G38" s="56"/>
    </row>
    <row r="39" spans="1:7" ht="17.25" customHeight="1" x14ac:dyDescent="0.3">
      <c r="A39" s="56"/>
      <c r="B39" s="95" t="s">
        <v>65</v>
      </c>
      <c r="C39" s="56"/>
      <c r="D39" s="56"/>
      <c r="E39" s="56"/>
      <c r="F39" s="56"/>
      <c r="G39" s="56"/>
    </row>
    <row r="40" spans="1:7" ht="17.25" customHeight="1" x14ac:dyDescent="0.3">
      <c r="A40" s="56"/>
      <c r="B40" s="95" t="s">
        <v>80</v>
      </c>
      <c r="C40" s="56"/>
      <c r="D40" s="56"/>
      <c r="E40" s="56"/>
      <c r="F40" s="56"/>
      <c r="G40" s="56"/>
    </row>
    <row r="41" spans="1:7" ht="17.25" customHeight="1" x14ac:dyDescent="0.3">
      <c r="A41" s="56"/>
      <c r="B41" s="95" t="s">
        <v>81</v>
      </c>
      <c r="C41" s="56"/>
      <c r="D41" s="56"/>
      <c r="E41" s="56"/>
      <c r="F41" s="56"/>
      <c r="G41" s="56"/>
    </row>
    <row r="42" spans="1:7" ht="17.25" customHeight="1" x14ac:dyDescent="0.3">
      <c r="A42" s="56"/>
      <c r="B42" s="56"/>
      <c r="C42" s="56"/>
      <c r="D42" s="56"/>
      <c r="E42" s="56"/>
      <c r="F42" s="56"/>
      <c r="G42" s="56"/>
    </row>
    <row r="43" spans="1:7" ht="17.25" customHeight="1" x14ac:dyDescent="0.3">
      <c r="A43" s="56"/>
      <c r="B43" s="56"/>
      <c r="C43" s="56"/>
      <c r="D43" s="56"/>
      <c r="E43" s="56"/>
      <c r="F43" s="56"/>
      <c r="G43" s="56"/>
    </row>
    <row r="44" spans="1:7" ht="17.25" customHeight="1" x14ac:dyDescent="0.3">
      <c r="A44" s="56"/>
      <c r="B44" s="56"/>
      <c r="C44" s="56"/>
      <c r="D44" s="56"/>
      <c r="E44" s="56"/>
      <c r="F44" s="56"/>
      <c r="G44" s="56"/>
    </row>
    <row r="45" spans="1:7" ht="17.25" customHeight="1" x14ac:dyDescent="0.3">
      <c r="A45" s="56"/>
      <c r="B45" s="56"/>
      <c r="C45" s="56"/>
      <c r="D45" s="56"/>
      <c r="E45" s="56"/>
      <c r="F45" s="56"/>
      <c r="G45" s="56"/>
    </row>
    <row r="46" spans="1:7" ht="17.25" customHeight="1" x14ac:dyDescent="0.3">
      <c r="A46" s="56"/>
      <c r="B46" s="56"/>
      <c r="C46" s="56"/>
      <c r="D46" s="56"/>
      <c r="E46" s="56"/>
      <c r="F46" s="56"/>
      <c r="G46" s="56"/>
    </row>
    <row r="47" spans="1:7" ht="17.25" customHeight="1" x14ac:dyDescent="0.3">
      <c r="A47" s="56"/>
      <c r="B47" s="56"/>
      <c r="C47" s="56"/>
      <c r="D47" s="56"/>
      <c r="E47" s="56"/>
      <c r="F47" s="56"/>
      <c r="G47" s="56"/>
    </row>
    <row r="48" spans="1:7" ht="17.25" customHeight="1" x14ac:dyDescent="0.3">
      <c r="A48" s="56"/>
      <c r="B48" s="56"/>
      <c r="C48" s="56"/>
      <c r="D48" s="56"/>
      <c r="E48" s="56"/>
      <c r="F48" s="56"/>
      <c r="G48" s="56"/>
    </row>
    <row r="49" spans="1:7" ht="17.25" customHeight="1" x14ac:dyDescent="0.3">
      <c r="A49" s="56"/>
      <c r="B49" s="56"/>
      <c r="C49" s="56"/>
      <c r="D49" s="56"/>
      <c r="E49" s="56"/>
      <c r="F49" s="56"/>
      <c r="G49" s="56"/>
    </row>
    <row r="50" spans="1:7" ht="17.25" customHeight="1" x14ac:dyDescent="0.3">
      <c r="A50" s="56"/>
      <c r="B50" s="56"/>
      <c r="C50" s="56"/>
      <c r="D50" s="56"/>
      <c r="E50" s="56"/>
      <c r="F50" s="56"/>
      <c r="G50" s="56"/>
    </row>
    <row r="51" spans="1:7" ht="17.25" customHeight="1" x14ac:dyDescent="0.3"/>
    <row r="52" spans="1:7" ht="17.25" customHeight="1" x14ac:dyDescent="0.3"/>
    <row r="53" spans="1:7" ht="17.25" customHeight="1" x14ac:dyDescent="0.3"/>
    <row r="54" spans="1:7" ht="17.25" customHeight="1" x14ac:dyDescent="0.3"/>
    <row r="55" spans="1:7" ht="17.25" customHeight="1" x14ac:dyDescent="0.3"/>
    <row r="56" spans="1:7" ht="17.25" customHeight="1" x14ac:dyDescent="0.3"/>
    <row r="57" spans="1:7" ht="17.25" customHeight="1" x14ac:dyDescent="0.3"/>
    <row r="58" spans="1:7" ht="17.25" customHeight="1" x14ac:dyDescent="0.3"/>
    <row r="59" spans="1:7" ht="17.25" customHeight="1" x14ac:dyDescent="0.3"/>
    <row r="60" spans="1:7" ht="17.25" customHeight="1" x14ac:dyDescent="0.3"/>
    <row r="61" spans="1:7" ht="17.25" customHeight="1" x14ac:dyDescent="0.3"/>
    <row r="62" spans="1:7" ht="17.25" customHeight="1" x14ac:dyDescent="0.3"/>
    <row r="63" spans="1:7" ht="17.25" customHeight="1" x14ac:dyDescent="0.3"/>
    <row r="64" spans="1:7" ht="17.25" customHeight="1" x14ac:dyDescent="0.3"/>
    <row r="65" ht="17.25" customHeight="1" x14ac:dyDescent="0.3"/>
    <row r="66" ht="17.25" customHeight="1" x14ac:dyDescent="0.3"/>
    <row r="67" ht="17.25" customHeight="1" x14ac:dyDescent="0.3"/>
    <row r="68" ht="17.25" customHeight="1" x14ac:dyDescent="0.3"/>
    <row r="69" ht="17.25" customHeight="1" x14ac:dyDescent="0.3"/>
    <row r="70" ht="17.25" customHeight="1" x14ac:dyDescent="0.3"/>
    <row r="71" ht="17.25" customHeight="1" x14ac:dyDescent="0.3"/>
    <row r="72" ht="17.25" customHeight="1" x14ac:dyDescent="0.3"/>
    <row r="73" ht="17.25" customHeight="1" x14ac:dyDescent="0.3"/>
    <row r="74" ht="17.25" customHeight="1" x14ac:dyDescent="0.3"/>
    <row r="75" ht="17.25" customHeight="1" x14ac:dyDescent="0.3"/>
    <row r="76" ht="17.25" customHeight="1" x14ac:dyDescent="0.3"/>
    <row r="77" ht="17.25" customHeight="1" x14ac:dyDescent="0.3"/>
    <row r="78" ht="17.25" customHeight="1" x14ac:dyDescent="0.3"/>
    <row r="79" ht="17.25" customHeight="1" x14ac:dyDescent="0.3"/>
    <row r="80" ht="17.25" customHeight="1" x14ac:dyDescent="0.3"/>
    <row r="81" ht="17.25" customHeight="1" x14ac:dyDescent="0.3"/>
    <row r="82" ht="17.25" customHeight="1" x14ac:dyDescent="0.3"/>
    <row r="83" ht="17.25" customHeight="1" x14ac:dyDescent="0.3"/>
    <row r="84" ht="17.25" customHeight="1" x14ac:dyDescent="0.3"/>
    <row r="85" ht="17.25" customHeight="1" x14ac:dyDescent="0.3"/>
    <row r="86" ht="17.25" customHeight="1" x14ac:dyDescent="0.3"/>
    <row r="87" ht="17.25" customHeight="1" x14ac:dyDescent="0.3"/>
    <row r="88" ht="17.25" customHeight="1" x14ac:dyDescent="0.3"/>
    <row r="89" ht="17.25" customHeight="1" x14ac:dyDescent="0.3"/>
    <row r="90" ht="17.25" customHeight="1" x14ac:dyDescent="0.3"/>
    <row r="91" ht="17.25" customHeight="1" x14ac:dyDescent="0.3"/>
    <row r="92" ht="17.25" customHeight="1" x14ac:dyDescent="0.3"/>
    <row r="93" ht="17.25" customHeight="1" x14ac:dyDescent="0.3"/>
    <row r="94" ht="17.25" customHeight="1" x14ac:dyDescent="0.3"/>
    <row r="95" ht="17.25" customHeight="1" x14ac:dyDescent="0.3"/>
    <row r="96" ht="17.25" customHeight="1" x14ac:dyDescent="0.3"/>
    <row r="97" ht="17.25" customHeight="1" x14ac:dyDescent="0.3"/>
    <row r="98" ht="17.25" customHeight="1" x14ac:dyDescent="0.3"/>
    <row r="99" ht="17.25" customHeight="1" x14ac:dyDescent="0.3"/>
    <row r="100" ht="17.25" customHeight="1" x14ac:dyDescent="0.3"/>
    <row r="101" ht="17.25" customHeight="1" x14ac:dyDescent="0.3"/>
    <row r="102" ht="17.25" customHeight="1" x14ac:dyDescent="0.3"/>
    <row r="103" ht="17.25" customHeight="1" x14ac:dyDescent="0.3"/>
    <row r="104" ht="17.25" customHeight="1" x14ac:dyDescent="0.3"/>
    <row r="105" ht="17.25" customHeight="1" x14ac:dyDescent="0.3"/>
    <row r="106" ht="17.25" customHeight="1" x14ac:dyDescent="0.3"/>
    <row r="107" ht="17.25" customHeight="1" x14ac:dyDescent="0.3"/>
    <row r="108" ht="17.25" customHeight="1" x14ac:dyDescent="0.3"/>
    <row r="109" ht="17.25" customHeight="1" x14ac:dyDescent="0.3"/>
    <row r="110" ht="17.25" customHeight="1" x14ac:dyDescent="0.3"/>
    <row r="111" ht="17.25" customHeight="1" x14ac:dyDescent="0.3"/>
    <row r="112" ht="17.25" customHeight="1" x14ac:dyDescent="0.3"/>
    <row r="113" ht="17.25" customHeight="1" x14ac:dyDescent="0.3"/>
    <row r="114" ht="17.25" customHeight="1" x14ac:dyDescent="0.3"/>
    <row r="115" ht="17.25" customHeight="1" x14ac:dyDescent="0.3"/>
    <row r="116" ht="17.25" customHeight="1" x14ac:dyDescent="0.3"/>
    <row r="117" ht="17.25" customHeight="1" x14ac:dyDescent="0.3"/>
    <row r="118" ht="17.25" customHeight="1" x14ac:dyDescent="0.3"/>
    <row r="119" ht="17.25" customHeight="1" x14ac:dyDescent="0.3"/>
    <row r="120" ht="17.25" customHeight="1" x14ac:dyDescent="0.3"/>
    <row r="121" ht="17.25" customHeight="1" x14ac:dyDescent="0.3"/>
    <row r="122" ht="17.25" customHeight="1" x14ac:dyDescent="0.3"/>
    <row r="123" ht="17.25" customHeight="1" x14ac:dyDescent="0.3"/>
    <row r="124" ht="17.25" customHeight="1" x14ac:dyDescent="0.3"/>
    <row r="125" ht="17.25" customHeight="1" x14ac:dyDescent="0.3"/>
    <row r="126" ht="17.25" customHeight="1" x14ac:dyDescent="0.3"/>
    <row r="127" ht="17.25" customHeight="1" x14ac:dyDescent="0.3"/>
    <row r="128" ht="17.25" customHeight="1" x14ac:dyDescent="0.3"/>
    <row r="129" ht="17.25" customHeight="1" x14ac:dyDescent="0.3"/>
    <row r="130" ht="17.25" customHeight="1" x14ac:dyDescent="0.3"/>
    <row r="131" ht="17.25" customHeight="1" x14ac:dyDescent="0.3"/>
    <row r="132" ht="17.25" customHeight="1" x14ac:dyDescent="0.3"/>
    <row r="133" ht="17.25" customHeight="1" x14ac:dyDescent="0.3"/>
    <row r="134" ht="17.25" customHeight="1" x14ac:dyDescent="0.3"/>
    <row r="135" ht="17.25" customHeight="1" x14ac:dyDescent="0.3"/>
    <row r="136" ht="17.25" customHeight="1" x14ac:dyDescent="0.3"/>
    <row r="137" ht="17.25" customHeight="1" x14ac:dyDescent="0.3"/>
    <row r="138" ht="17.25" customHeight="1" x14ac:dyDescent="0.3"/>
    <row r="139" ht="17.25" customHeight="1" x14ac:dyDescent="0.3"/>
    <row r="140" ht="17.25" customHeight="1" x14ac:dyDescent="0.3"/>
    <row r="141" ht="17.25" customHeight="1" x14ac:dyDescent="0.3"/>
    <row r="142" ht="17.25" customHeight="1" x14ac:dyDescent="0.3"/>
    <row r="143" ht="17.25" customHeight="1" x14ac:dyDescent="0.3"/>
    <row r="144" ht="17.25" customHeight="1" x14ac:dyDescent="0.3"/>
    <row r="145" ht="17.25" customHeight="1" x14ac:dyDescent="0.3"/>
    <row r="146" ht="17.25" customHeight="1" x14ac:dyDescent="0.3"/>
    <row r="147" ht="17.25" customHeight="1" x14ac:dyDescent="0.3"/>
    <row r="148" ht="17.25" customHeight="1" x14ac:dyDescent="0.3"/>
    <row r="149" ht="17.25" customHeight="1" x14ac:dyDescent="0.3"/>
    <row r="150" ht="17.25" customHeight="1" x14ac:dyDescent="0.3"/>
    <row r="151" ht="17.25" customHeight="1" x14ac:dyDescent="0.3"/>
    <row r="152" ht="17.25" customHeight="1" x14ac:dyDescent="0.3"/>
    <row r="153" ht="17.25" customHeight="1" x14ac:dyDescent="0.3"/>
    <row r="154" ht="17.25" customHeight="1" x14ac:dyDescent="0.3"/>
    <row r="155" ht="17.25" customHeight="1" x14ac:dyDescent="0.3"/>
    <row r="156" ht="17.25" customHeight="1" x14ac:dyDescent="0.3"/>
    <row r="157" ht="17.25" customHeight="1" x14ac:dyDescent="0.3"/>
    <row r="158" ht="17.25" customHeight="1" x14ac:dyDescent="0.3"/>
    <row r="159" ht="17.25" customHeight="1" x14ac:dyDescent="0.3"/>
    <row r="160" ht="17.25" customHeight="1" x14ac:dyDescent="0.3"/>
    <row r="161" ht="17.25" customHeight="1" x14ac:dyDescent="0.3"/>
    <row r="162" ht="17.25" customHeight="1" x14ac:dyDescent="0.3"/>
    <row r="163" ht="17.25" customHeight="1" x14ac:dyDescent="0.3"/>
    <row r="164" ht="17.25" customHeight="1" x14ac:dyDescent="0.3"/>
    <row r="165" ht="17.25" customHeight="1" x14ac:dyDescent="0.3"/>
    <row r="166" ht="17.25" customHeight="1" x14ac:dyDescent="0.3"/>
    <row r="167" ht="17.25" customHeight="1" x14ac:dyDescent="0.3"/>
    <row r="168" ht="17.25" customHeight="1" x14ac:dyDescent="0.3"/>
    <row r="169" ht="17.25" customHeight="1" x14ac:dyDescent="0.3"/>
    <row r="170" ht="17.25" customHeight="1" x14ac:dyDescent="0.3"/>
    <row r="171" ht="17.25" customHeight="1" x14ac:dyDescent="0.3"/>
    <row r="172" ht="17.25" customHeight="1" x14ac:dyDescent="0.3"/>
    <row r="173" ht="17.25" customHeight="1" x14ac:dyDescent="0.3"/>
    <row r="174" ht="17.25" customHeight="1" x14ac:dyDescent="0.3"/>
    <row r="175" ht="17.25" customHeight="1" x14ac:dyDescent="0.3"/>
    <row r="176" ht="17.25" customHeight="1" x14ac:dyDescent="0.3"/>
    <row r="177" ht="17.25" customHeight="1" x14ac:dyDescent="0.3"/>
    <row r="178" ht="17.25" customHeight="1" x14ac:dyDescent="0.3"/>
    <row r="179" ht="17.25" customHeight="1" x14ac:dyDescent="0.3"/>
    <row r="180" ht="17.25" customHeight="1" x14ac:dyDescent="0.3"/>
    <row r="181" ht="17.25" customHeight="1" x14ac:dyDescent="0.3"/>
    <row r="182" ht="17.25" customHeight="1" x14ac:dyDescent="0.3"/>
    <row r="183" ht="17.25" customHeight="1" x14ac:dyDescent="0.3"/>
    <row r="184" ht="17.25" customHeight="1" x14ac:dyDescent="0.3"/>
    <row r="185" ht="17.25" customHeight="1" x14ac:dyDescent="0.3"/>
    <row r="186" ht="17.25" customHeight="1" x14ac:dyDescent="0.3"/>
    <row r="187" ht="17.25" customHeight="1" x14ac:dyDescent="0.3"/>
    <row r="188" ht="17.25" customHeight="1" x14ac:dyDescent="0.3"/>
    <row r="189" ht="17.25" customHeight="1" x14ac:dyDescent="0.3"/>
    <row r="190" ht="17.25" customHeight="1" x14ac:dyDescent="0.3"/>
    <row r="191" ht="17.25" customHeight="1" x14ac:dyDescent="0.3"/>
    <row r="192" ht="17.25" customHeight="1" x14ac:dyDescent="0.3"/>
    <row r="193" ht="17.25" customHeight="1" x14ac:dyDescent="0.3"/>
    <row r="194" ht="17.25" customHeight="1" x14ac:dyDescent="0.3"/>
    <row r="195" ht="17.25" customHeight="1" x14ac:dyDescent="0.3"/>
    <row r="196" ht="17.25" customHeight="1" x14ac:dyDescent="0.3"/>
    <row r="197" ht="17.25" customHeight="1" x14ac:dyDescent="0.3"/>
    <row r="198" ht="17.25" customHeight="1" x14ac:dyDescent="0.3"/>
    <row r="199" ht="17.25" customHeight="1" x14ac:dyDescent="0.3"/>
    <row r="200" ht="17.25" customHeight="1" x14ac:dyDescent="0.3"/>
    <row r="201" ht="17.25" customHeight="1" x14ac:dyDescent="0.3"/>
    <row r="202" ht="17.25" customHeight="1" x14ac:dyDescent="0.3"/>
    <row r="203" ht="17.25" customHeight="1" x14ac:dyDescent="0.3"/>
    <row r="204" ht="17.25" customHeight="1" x14ac:dyDescent="0.3"/>
    <row r="205" ht="17.25" customHeight="1" x14ac:dyDescent="0.3"/>
    <row r="206" ht="17.25" customHeight="1" x14ac:dyDescent="0.3"/>
    <row r="207" ht="17.25" customHeight="1" x14ac:dyDescent="0.3"/>
    <row r="208" ht="17.25" customHeight="1" x14ac:dyDescent="0.3"/>
    <row r="209" ht="17.25" customHeight="1" x14ac:dyDescent="0.3"/>
    <row r="210" ht="17.25" customHeight="1" x14ac:dyDescent="0.3"/>
    <row r="211" ht="17.25" customHeight="1" x14ac:dyDescent="0.3"/>
    <row r="212" ht="17.25" customHeight="1" x14ac:dyDescent="0.3"/>
    <row r="213" ht="17.25" customHeight="1" x14ac:dyDescent="0.3"/>
    <row r="214" ht="17.25" customHeight="1" x14ac:dyDescent="0.3"/>
    <row r="215" ht="17.25" customHeight="1" x14ac:dyDescent="0.3"/>
    <row r="216" ht="17.25" customHeight="1" x14ac:dyDescent="0.3"/>
    <row r="217" ht="17.25" customHeight="1" x14ac:dyDescent="0.3"/>
    <row r="218" ht="17.25" customHeight="1" x14ac:dyDescent="0.3"/>
    <row r="219" ht="17.25" customHeight="1" x14ac:dyDescent="0.3"/>
    <row r="220" ht="17.25" customHeight="1" x14ac:dyDescent="0.3"/>
    <row r="221" ht="17.25" customHeight="1" x14ac:dyDescent="0.3"/>
    <row r="222" ht="17.25" customHeight="1" x14ac:dyDescent="0.3"/>
    <row r="223" ht="17.25" customHeight="1" x14ac:dyDescent="0.3"/>
    <row r="224" ht="17.25" customHeight="1" x14ac:dyDescent="0.3"/>
    <row r="225" ht="17.25" customHeight="1" x14ac:dyDescent="0.3"/>
    <row r="226" ht="17.25" customHeight="1" x14ac:dyDescent="0.3"/>
    <row r="227" ht="17.25" customHeight="1" x14ac:dyDescent="0.3"/>
    <row r="228" ht="17.25" customHeight="1" x14ac:dyDescent="0.3"/>
    <row r="229" ht="17.25" customHeight="1" x14ac:dyDescent="0.3"/>
    <row r="230" ht="17.25" customHeight="1" x14ac:dyDescent="0.3"/>
    <row r="231" ht="17.25" customHeight="1" x14ac:dyDescent="0.3"/>
    <row r="232" ht="17.25" customHeight="1" x14ac:dyDescent="0.3"/>
    <row r="233" ht="17.25" customHeight="1" x14ac:dyDescent="0.3"/>
    <row r="234" ht="17.25" customHeight="1" x14ac:dyDescent="0.3"/>
    <row r="235" ht="17.25" customHeight="1" x14ac:dyDescent="0.3"/>
    <row r="236" ht="17.25" customHeight="1" x14ac:dyDescent="0.3"/>
    <row r="237" ht="17.25" customHeight="1" x14ac:dyDescent="0.3"/>
    <row r="238" ht="17.25" customHeight="1" x14ac:dyDescent="0.3"/>
    <row r="239" ht="17.25" customHeight="1" x14ac:dyDescent="0.3"/>
    <row r="240" ht="17.25" customHeight="1" x14ac:dyDescent="0.3"/>
    <row r="241" ht="17.25" customHeight="1" x14ac:dyDescent="0.3"/>
    <row r="242" ht="17.25" customHeight="1" x14ac:dyDescent="0.3"/>
    <row r="243" ht="17.25" customHeight="1" x14ac:dyDescent="0.3"/>
    <row r="244" ht="17.25" customHeight="1" x14ac:dyDescent="0.3"/>
    <row r="245" ht="17.25" customHeight="1" x14ac:dyDescent="0.3"/>
    <row r="246" ht="17.25" customHeight="1" x14ac:dyDescent="0.3"/>
    <row r="247" ht="17.25" customHeight="1" x14ac:dyDescent="0.3"/>
    <row r="248" ht="17.25" customHeight="1" x14ac:dyDescent="0.3"/>
    <row r="249" ht="17.25" customHeight="1" x14ac:dyDescent="0.3"/>
    <row r="250" ht="17.25" customHeight="1" x14ac:dyDescent="0.3"/>
    <row r="251" ht="17.25" customHeight="1" x14ac:dyDescent="0.3"/>
    <row r="252" ht="17.25" customHeight="1" x14ac:dyDescent="0.3"/>
    <row r="253" ht="17.25" customHeight="1" x14ac:dyDescent="0.3"/>
    <row r="254" ht="17.25" customHeight="1" x14ac:dyDescent="0.3"/>
    <row r="255" ht="17.25" customHeight="1" x14ac:dyDescent="0.3"/>
    <row r="256" ht="17.25" customHeight="1" x14ac:dyDescent="0.3"/>
    <row r="257" ht="17.25" customHeight="1" x14ac:dyDescent="0.3"/>
    <row r="258" ht="17.25" customHeight="1" x14ac:dyDescent="0.3"/>
    <row r="259" ht="17.25" customHeight="1" x14ac:dyDescent="0.3"/>
    <row r="260" ht="17.25" customHeight="1" x14ac:dyDescent="0.3"/>
    <row r="261" ht="17.25" customHeight="1" x14ac:dyDescent="0.3"/>
    <row r="262" ht="17.25" customHeight="1" x14ac:dyDescent="0.3"/>
    <row r="263" ht="17.25" customHeight="1" x14ac:dyDescent="0.3"/>
    <row r="264" ht="17.25" customHeight="1" x14ac:dyDescent="0.3"/>
    <row r="265" ht="17.25" customHeight="1" x14ac:dyDescent="0.3"/>
    <row r="266" ht="17.25" customHeight="1" x14ac:dyDescent="0.3"/>
    <row r="267" ht="17.25" customHeight="1" x14ac:dyDescent="0.3"/>
    <row r="268" ht="17.25" customHeight="1" x14ac:dyDescent="0.3"/>
    <row r="269" ht="17.25" customHeight="1" x14ac:dyDescent="0.3"/>
    <row r="270" ht="17.25" customHeight="1" x14ac:dyDescent="0.3"/>
    <row r="271" ht="17.25" customHeight="1" x14ac:dyDescent="0.3"/>
    <row r="272" ht="17.25" customHeight="1" x14ac:dyDescent="0.3"/>
    <row r="273" ht="17.25" customHeight="1" x14ac:dyDescent="0.3"/>
    <row r="274" ht="17.25" customHeight="1" x14ac:dyDescent="0.3"/>
    <row r="275" ht="17.25" customHeight="1" x14ac:dyDescent="0.3"/>
    <row r="276" ht="17.25" customHeight="1" x14ac:dyDescent="0.3"/>
    <row r="277" ht="17.25" customHeight="1" x14ac:dyDescent="0.3"/>
    <row r="278" ht="17.25" customHeight="1" x14ac:dyDescent="0.3"/>
    <row r="279" ht="17.25" customHeight="1" x14ac:dyDescent="0.3"/>
    <row r="280" ht="17.25" customHeight="1" x14ac:dyDescent="0.3"/>
    <row r="281" ht="17.25" customHeight="1" x14ac:dyDescent="0.3"/>
    <row r="282" ht="17.25" customHeight="1" x14ac:dyDescent="0.3"/>
    <row r="283" ht="17.25" customHeight="1" x14ac:dyDescent="0.3"/>
    <row r="284" ht="17.25" customHeight="1" x14ac:dyDescent="0.3"/>
    <row r="285" ht="17.25" customHeight="1" x14ac:dyDescent="0.3"/>
    <row r="286" ht="17.25" customHeight="1" x14ac:dyDescent="0.3"/>
    <row r="287" ht="17.25" customHeight="1" x14ac:dyDescent="0.3"/>
    <row r="288" ht="17.25" customHeight="1" x14ac:dyDescent="0.3"/>
    <row r="289" ht="17.25" customHeight="1" x14ac:dyDescent="0.3"/>
    <row r="290" ht="17.25" customHeight="1" x14ac:dyDescent="0.3"/>
    <row r="291" ht="17.25" customHeight="1" x14ac:dyDescent="0.3"/>
    <row r="292" ht="17.25" customHeight="1" x14ac:dyDescent="0.3"/>
    <row r="293" ht="17.25" customHeight="1" x14ac:dyDescent="0.3"/>
    <row r="294" ht="17.25" customHeight="1" x14ac:dyDescent="0.3"/>
    <row r="295" ht="17.25" customHeight="1" x14ac:dyDescent="0.3"/>
    <row r="296" ht="17.25" customHeight="1" x14ac:dyDescent="0.3"/>
    <row r="297" ht="17.25" customHeight="1" x14ac:dyDescent="0.3"/>
    <row r="298" ht="17.25" customHeight="1" x14ac:dyDescent="0.3"/>
    <row r="299" ht="17.25" customHeight="1" x14ac:dyDescent="0.3"/>
    <row r="300" ht="17.25" customHeight="1" x14ac:dyDescent="0.3"/>
    <row r="301" ht="17.25" customHeight="1" x14ac:dyDescent="0.3"/>
    <row r="302" ht="17.25" customHeight="1" x14ac:dyDescent="0.3"/>
    <row r="303" ht="17.25" customHeight="1" x14ac:dyDescent="0.3"/>
    <row r="304" ht="17.25" customHeight="1" x14ac:dyDescent="0.3"/>
    <row r="305" ht="17.25" customHeight="1" x14ac:dyDescent="0.3"/>
    <row r="306" ht="17.25" customHeight="1" x14ac:dyDescent="0.3"/>
    <row r="307" ht="17.25" customHeight="1" x14ac:dyDescent="0.3"/>
    <row r="308" ht="17.25" customHeight="1" x14ac:dyDescent="0.3"/>
    <row r="309" ht="17.25" customHeight="1" x14ac:dyDescent="0.3"/>
    <row r="310" ht="17.25" customHeight="1" x14ac:dyDescent="0.3"/>
    <row r="311" ht="17.25" customHeight="1" x14ac:dyDescent="0.3"/>
    <row r="312" ht="17.25" customHeight="1" x14ac:dyDescent="0.3"/>
    <row r="313" ht="17.25" customHeight="1" x14ac:dyDescent="0.3"/>
    <row r="314" ht="17.25" customHeight="1" x14ac:dyDescent="0.3"/>
    <row r="315" ht="17.25" customHeight="1" x14ac:dyDescent="0.3"/>
    <row r="316" ht="17.25" customHeight="1" x14ac:dyDescent="0.3"/>
    <row r="317" ht="17.25" customHeight="1" x14ac:dyDescent="0.3"/>
    <row r="318" ht="17.25" customHeight="1" x14ac:dyDescent="0.3"/>
    <row r="319" ht="17.25" customHeight="1" x14ac:dyDescent="0.3"/>
    <row r="320" ht="17.25" customHeight="1" x14ac:dyDescent="0.3"/>
    <row r="321" ht="17.25" customHeight="1" x14ac:dyDescent="0.3"/>
    <row r="322" ht="17.25" customHeight="1" x14ac:dyDescent="0.3"/>
    <row r="323" ht="17.25" customHeight="1" x14ac:dyDescent="0.3"/>
    <row r="324" ht="17.25" customHeight="1" x14ac:dyDescent="0.3"/>
    <row r="325" ht="17.25" customHeight="1" x14ac:dyDescent="0.3"/>
    <row r="326" ht="17.25" customHeight="1" x14ac:dyDescent="0.3"/>
    <row r="327" ht="17.25" customHeight="1" x14ac:dyDescent="0.3"/>
    <row r="328" ht="17.25" customHeight="1" x14ac:dyDescent="0.3"/>
    <row r="329" ht="17.25" customHeight="1" x14ac:dyDescent="0.3"/>
    <row r="330" ht="17.25" customHeight="1" x14ac:dyDescent="0.3"/>
    <row r="331" ht="17.25" customHeight="1" x14ac:dyDescent="0.3"/>
    <row r="332" ht="17.25" customHeight="1" x14ac:dyDescent="0.3"/>
    <row r="333" ht="17.25" customHeight="1" x14ac:dyDescent="0.3"/>
    <row r="334" ht="17.25" customHeight="1" x14ac:dyDescent="0.3"/>
    <row r="335" ht="17.25" customHeight="1" x14ac:dyDescent="0.3"/>
    <row r="336" ht="17.25" customHeight="1" x14ac:dyDescent="0.3"/>
    <row r="337" ht="17.25" customHeight="1" x14ac:dyDescent="0.3"/>
    <row r="338" ht="17.25" customHeight="1" x14ac:dyDescent="0.3"/>
    <row r="339" ht="17.25" customHeight="1" x14ac:dyDescent="0.3"/>
    <row r="340" ht="17.25" customHeight="1" x14ac:dyDescent="0.3"/>
    <row r="341" ht="17.25" customHeight="1" x14ac:dyDescent="0.3"/>
    <row r="342" ht="17.25" customHeight="1" x14ac:dyDescent="0.3"/>
    <row r="343" ht="17.25" customHeight="1" x14ac:dyDescent="0.3"/>
    <row r="344" ht="17.25" customHeight="1" x14ac:dyDescent="0.3"/>
    <row r="345" ht="17.25" customHeight="1" x14ac:dyDescent="0.3"/>
    <row r="346" ht="17.25" customHeight="1" x14ac:dyDescent="0.3"/>
    <row r="347" ht="17.25" customHeight="1" x14ac:dyDescent="0.3"/>
    <row r="348" ht="17.25" customHeight="1" x14ac:dyDescent="0.3"/>
    <row r="349" ht="17.25" customHeight="1" x14ac:dyDescent="0.3"/>
    <row r="350" ht="17.25" customHeight="1" x14ac:dyDescent="0.3"/>
    <row r="351" ht="17.25" customHeight="1" x14ac:dyDescent="0.3"/>
    <row r="352" ht="17.25" customHeight="1" x14ac:dyDescent="0.3"/>
    <row r="353" ht="17.25" customHeight="1" x14ac:dyDescent="0.3"/>
    <row r="354" ht="17.25" customHeight="1" x14ac:dyDescent="0.3"/>
    <row r="355" ht="17.25" customHeight="1" x14ac:dyDescent="0.3"/>
    <row r="356" ht="17.25" customHeight="1" x14ac:dyDescent="0.3"/>
    <row r="357" ht="17.25" customHeight="1" x14ac:dyDescent="0.3"/>
    <row r="358" ht="17.25" customHeight="1" x14ac:dyDescent="0.3"/>
    <row r="359" ht="17.25" customHeight="1" x14ac:dyDescent="0.3"/>
    <row r="360" ht="17.25" customHeight="1" x14ac:dyDescent="0.3"/>
    <row r="361" ht="17.25" customHeight="1" x14ac:dyDescent="0.3"/>
    <row r="362" ht="17.25" customHeight="1" x14ac:dyDescent="0.3"/>
    <row r="363" ht="17.25" customHeight="1" x14ac:dyDescent="0.3"/>
    <row r="364" ht="17.25" customHeight="1" x14ac:dyDescent="0.3"/>
    <row r="365" ht="17.25" customHeight="1" x14ac:dyDescent="0.3"/>
    <row r="366" ht="17.25" customHeight="1" x14ac:dyDescent="0.3"/>
    <row r="367" ht="17.25" customHeight="1" x14ac:dyDescent="0.3"/>
    <row r="368" ht="17.25" customHeight="1" x14ac:dyDescent="0.3"/>
    <row r="369" ht="17.25" customHeight="1" x14ac:dyDescent="0.3"/>
    <row r="370" ht="17.25" customHeight="1" x14ac:dyDescent="0.3"/>
    <row r="371" ht="17.25" customHeight="1" x14ac:dyDescent="0.3"/>
    <row r="372" ht="17.25" customHeight="1" x14ac:dyDescent="0.3"/>
    <row r="373" ht="17.25" customHeight="1" x14ac:dyDescent="0.3"/>
    <row r="374" ht="17.25" customHeight="1" x14ac:dyDescent="0.3"/>
    <row r="375" ht="17.25" customHeight="1" x14ac:dyDescent="0.3"/>
    <row r="376" ht="17.25" customHeight="1" x14ac:dyDescent="0.3"/>
    <row r="377" ht="17.25" customHeight="1" x14ac:dyDescent="0.3"/>
    <row r="378" ht="17.25" customHeight="1" x14ac:dyDescent="0.3"/>
    <row r="379" ht="17.25" customHeight="1" x14ac:dyDescent="0.3"/>
    <row r="380" ht="17.25" customHeight="1" x14ac:dyDescent="0.3"/>
    <row r="381" ht="17.25" customHeight="1" x14ac:dyDescent="0.3"/>
    <row r="382" ht="17.25" customHeight="1" x14ac:dyDescent="0.3"/>
    <row r="383" ht="17.25" customHeight="1" x14ac:dyDescent="0.3"/>
    <row r="384" ht="17.25" customHeight="1" x14ac:dyDescent="0.3"/>
    <row r="385" ht="17.25" customHeight="1" x14ac:dyDescent="0.3"/>
    <row r="386" ht="17.25" customHeight="1" x14ac:dyDescent="0.3"/>
    <row r="387" ht="17.25" customHeight="1" x14ac:dyDescent="0.3"/>
    <row r="388" ht="17.25" customHeight="1" x14ac:dyDescent="0.3"/>
    <row r="389" ht="17.25" customHeight="1" x14ac:dyDescent="0.3"/>
    <row r="390" ht="17.25" customHeight="1" x14ac:dyDescent="0.3"/>
    <row r="391" ht="17.25" customHeight="1" x14ac:dyDescent="0.3"/>
    <row r="392" ht="17.25" customHeight="1" x14ac:dyDescent="0.3"/>
    <row r="393" ht="17.25" customHeight="1" x14ac:dyDescent="0.3"/>
    <row r="394" ht="17.25" customHeight="1" x14ac:dyDescent="0.3"/>
    <row r="395" ht="17.25" customHeight="1" x14ac:dyDescent="0.3"/>
    <row r="396" ht="17.25" customHeight="1" x14ac:dyDescent="0.3"/>
    <row r="397" ht="17.25" customHeight="1" x14ac:dyDescent="0.3"/>
    <row r="398" ht="17.25" customHeight="1" x14ac:dyDescent="0.3"/>
    <row r="399" ht="17.25" customHeight="1" x14ac:dyDescent="0.3"/>
    <row r="400" ht="17.25" customHeight="1" x14ac:dyDescent="0.3"/>
    <row r="401" ht="17.25" customHeight="1" x14ac:dyDescent="0.3"/>
    <row r="402" ht="17.25" customHeight="1" x14ac:dyDescent="0.3"/>
    <row r="403" ht="17.25" customHeight="1" x14ac:dyDescent="0.3"/>
    <row r="404" ht="17.25" customHeight="1" x14ac:dyDescent="0.3"/>
    <row r="405" ht="17.25" customHeight="1" x14ac:dyDescent="0.3"/>
    <row r="406" ht="17.25" customHeight="1" x14ac:dyDescent="0.3"/>
    <row r="407" ht="17.25" customHeight="1" x14ac:dyDescent="0.3"/>
    <row r="408" ht="17.25" customHeight="1" x14ac:dyDescent="0.3"/>
    <row r="409" ht="17.25" customHeight="1" x14ac:dyDescent="0.3"/>
    <row r="410" ht="17.25" customHeight="1" x14ac:dyDescent="0.3"/>
    <row r="411" ht="17.25" customHeight="1" x14ac:dyDescent="0.3"/>
    <row r="412" ht="17.25" customHeight="1" x14ac:dyDescent="0.3"/>
    <row r="413" ht="17.25" customHeight="1" x14ac:dyDescent="0.3"/>
    <row r="414" ht="17.25" customHeight="1" x14ac:dyDescent="0.3"/>
    <row r="415" ht="17.25" customHeight="1" x14ac:dyDescent="0.3"/>
    <row r="416" ht="17.25" customHeight="1" x14ac:dyDescent="0.3"/>
    <row r="417" ht="17.25" customHeight="1" x14ac:dyDescent="0.3"/>
    <row r="418" ht="17.25" customHeight="1" x14ac:dyDescent="0.3"/>
    <row r="419" ht="17.25" customHeight="1" x14ac:dyDescent="0.3"/>
    <row r="420" ht="17.25" customHeight="1" x14ac:dyDescent="0.3"/>
    <row r="421" ht="17.25" customHeight="1" x14ac:dyDescent="0.3"/>
    <row r="422" ht="17.25" customHeight="1" x14ac:dyDescent="0.3"/>
    <row r="423" ht="17.25" customHeight="1" x14ac:dyDescent="0.3"/>
    <row r="424" ht="17.25" customHeight="1" x14ac:dyDescent="0.3"/>
    <row r="425" ht="17.25" customHeight="1" x14ac:dyDescent="0.3"/>
    <row r="426" ht="17.25" customHeight="1" x14ac:dyDescent="0.3"/>
    <row r="427" ht="17.25" customHeight="1" x14ac:dyDescent="0.3"/>
    <row r="428" ht="17.25" customHeight="1" x14ac:dyDescent="0.3"/>
    <row r="429" ht="17.25" customHeight="1" x14ac:dyDescent="0.3"/>
    <row r="430" ht="17.25" customHeight="1" x14ac:dyDescent="0.3"/>
    <row r="431" ht="17.25" customHeight="1" x14ac:dyDescent="0.3"/>
    <row r="432" ht="17.25" customHeight="1" x14ac:dyDescent="0.3"/>
    <row r="433" ht="17.25" customHeight="1" x14ac:dyDescent="0.3"/>
    <row r="434" ht="17.25" customHeight="1" x14ac:dyDescent="0.3"/>
    <row r="435" ht="17.25" customHeight="1" x14ac:dyDescent="0.3"/>
    <row r="436" ht="17.25" customHeight="1" x14ac:dyDescent="0.3"/>
    <row r="437" ht="17.25" customHeight="1" x14ac:dyDescent="0.3"/>
    <row r="438" ht="17.25" customHeight="1" x14ac:dyDescent="0.3"/>
    <row r="439" ht="17.25" customHeight="1" x14ac:dyDescent="0.3"/>
    <row r="440" ht="17.25" customHeight="1" x14ac:dyDescent="0.3"/>
    <row r="441" ht="17.25" customHeight="1" x14ac:dyDescent="0.3"/>
    <row r="442" ht="17.25" customHeight="1" x14ac:dyDescent="0.3"/>
    <row r="443" ht="17.25" customHeight="1" x14ac:dyDescent="0.3"/>
    <row r="444" ht="17.25" customHeight="1" x14ac:dyDescent="0.3"/>
    <row r="445" ht="17.25" customHeight="1" x14ac:dyDescent="0.3"/>
    <row r="446" ht="17.25" customHeight="1" x14ac:dyDescent="0.3"/>
    <row r="447" ht="17.25" customHeight="1" x14ac:dyDescent="0.3"/>
    <row r="448" ht="17.25" customHeight="1" x14ac:dyDescent="0.3"/>
    <row r="449" ht="17.25" customHeight="1" x14ac:dyDescent="0.3"/>
    <row r="450" ht="17.25" customHeight="1" x14ac:dyDescent="0.3"/>
    <row r="451" ht="17.25" customHeight="1" x14ac:dyDescent="0.3"/>
    <row r="452" ht="17.25" customHeight="1" x14ac:dyDescent="0.3"/>
    <row r="453" ht="17.25" customHeight="1" x14ac:dyDescent="0.3"/>
    <row r="454" ht="17.25" customHeight="1" x14ac:dyDescent="0.3"/>
    <row r="455" ht="17.25" customHeight="1" x14ac:dyDescent="0.3"/>
    <row r="456" ht="17.25" customHeight="1" x14ac:dyDescent="0.3"/>
    <row r="457" ht="17.25" customHeight="1" x14ac:dyDescent="0.3"/>
    <row r="458" ht="17.25" customHeight="1" x14ac:dyDescent="0.3"/>
    <row r="459" ht="17.25" customHeight="1" x14ac:dyDescent="0.3"/>
    <row r="460" ht="17.25" customHeight="1" x14ac:dyDescent="0.3"/>
    <row r="461" ht="17.25" customHeight="1" x14ac:dyDescent="0.3"/>
    <row r="462" ht="17.25" customHeight="1" x14ac:dyDescent="0.3"/>
    <row r="463" ht="17.25" customHeight="1" x14ac:dyDescent="0.3"/>
    <row r="464" ht="17.25" customHeight="1" x14ac:dyDescent="0.3"/>
    <row r="465" ht="17.25" customHeight="1" x14ac:dyDescent="0.3"/>
    <row r="466" ht="17.25" customHeight="1" x14ac:dyDescent="0.3"/>
    <row r="467" ht="17.25" customHeight="1" x14ac:dyDescent="0.3"/>
    <row r="468" ht="17.25" customHeight="1" x14ac:dyDescent="0.3"/>
    <row r="469" ht="17.25" customHeight="1" x14ac:dyDescent="0.3"/>
    <row r="470" ht="17.25" customHeight="1" x14ac:dyDescent="0.3"/>
    <row r="471" ht="17.25" customHeight="1" x14ac:dyDescent="0.3"/>
    <row r="472" ht="17.25" customHeight="1" x14ac:dyDescent="0.3"/>
    <row r="473" ht="17.25" customHeight="1" x14ac:dyDescent="0.3"/>
    <row r="474" ht="17.25" customHeight="1" x14ac:dyDescent="0.3"/>
    <row r="475" ht="17.25" customHeight="1" x14ac:dyDescent="0.3"/>
    <row r="476" ht="17.25" customHeight="1" x14ac:dyDescent="0.3"/>
    <row r="477" ht="17.25" customHeight="1" x14ac:dyDescent="0.3"/>
    <row r="478" ht="17.25" customHeight="1" x14ac:dyDescent="0.3"/>
    <row r="479" ht="17.25" customHeight="1" x14ac:dyDescent="0.3"/>
    <row r="480" ht="17.25" customHeight="1" x14ac:dyDescent="0.3"/>
    <row r="481" ht="17.25" customHeight="1" x14ac:dyDescent="0.3"/>
    <row r="482" ht="17.25" customHeight="1" x14ac:dyDescent="0.3"/>
    <row r="483" ht="17.25" customHeight="1" x14ac:dyDescent="0.3"/>
    <row r="484" ht="17.25" customHeight="1" x14ac:dyDescent="0.3"/>
    <row r="485" ht="17.25" customHeight="1" x14ac:dyDescent="0.3"/>
    <row r="486" ht="17.25" customHeight="1" x14ac:dyDescent="0.3"/>
    <row r="487" ht="17.25" customHeight="1" x14ac:dyDescent="0.3"/>
    <row r="488" ht="17.25" customHeight="1" x14ac:dyDescent="0.3"/>
    <row r="489" ht="17.25" customHeight="1" x14ac:dyDescent="0.3"/>
    <row r="490" ht="17.25" customHeight="1" x14ac:dyDescent="0.3"/>
    <row r="491" ht="17.25" customHeight="1" x14ac:dyDescent="0.3"/>
    <row r="492" ht="17.25" customHeight="1" x14ac:dyDescent="0.3"/>
    <row r="493" ht="17.25" customHeight="1" x14ac:dyDescent="0.3"/>
    <row r="494" ht="17.25" customHeight="1" x14ac:dyDescent="0.3"/>
    <row r="495" ht="17.25" customHeight="1" x14ac:dyDescent="0.3"/>
    <row r="496" ht="17.25" customHeight="1" x14ac:dyDescent="0.3"/>
    <row r="497" ht="17.25" customHeight="1" x14ac:dyDescent="0.3"/>
    <row r="498" ht="17.25" customHeight="1" x14ac:dyDescent="0.3"/>
    <row r="499" ht="17.25" customHeight="1" x14ac:dyDescent="0.3"/>
    <row r="500" ht="17.25" customHeight="1" x14ac:dyDescent="0.3"/>
    <row r="501" ht="17.25" customHeight="1" x14ac:dyDescent="0.3"/>
    <row r="502" ht="17.25" customHeight="1" x14ac:dyDescent="0.3"/>
  </sheetData>
  <pageMargins left="0.7" right="0.7" top="0.75" bottom="0.75" header="0.3" footer="0.3"/>
  <pageSetup scale="96" fitToHeight="0" orientation="portrait" verticalDpi="0" r:id="rId1"/>
  <drawing r:id="rId2"/>
  <picture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1:I33"/>
  <sheetViews>
    <sheetView showGridLines="0" workbookViewId="0">
      <selection activeCell="B6" sqref="B6"/>
    </sheetView>
  </sheetViews>
  <sheetFormatPr defaultRowHeight="15" x14ac:dyDescent="0.3"/>
  <cols>
    <col min="1" max="1" width="2.7109375" customWidth="1"/>
    <col min="2" max="2" width="18.85546875" customWidth="1"/>
    <col min="3" max="3" width="19.85546875" bestFit="1" customWidth="1"/>
    <col min="4" max="4" width="19" bestFit="1" customWidth="1"/>
    <col min="5" max="5" width="20.5703125" bestFit="1" customWidth="1"/>
    <col min="6" max="6" width="17.7109375" bestFit="1" customWidth="1"/>
    <col min="7" max="7" width="9.5703125" bestFit="1" customWidth="1"/>
    <col min="8" max="8" width="44.42578125" customWidth="1"/>
    <col min="9" max="9" width="33.28515625" bestFit="1" customWidth="1"/>
  </cols>
  <sheetData>
    <row r="1" spans="1:9" x14ac:dyDescent="0.3">
      <c r="A1" s="56"/>
      <c r="B1" s="56"/>
      <c r="C1" s="56"/>
      <c r="D1" s="56"/>
      <c r="E1" s="56"/>
      <c r="F1" s="56"/>
      <c r="G1" s="56"/>
      <c r="H1" s="56"/>
    </row>
    <row r="2" spans="1:9" x14ac:dyDescent="0.3">
      <c r="A2" s="56"/>
      <c r="B2" s="56"/>
      <c r="C2" s="56"/>
      <c r="D2" s="56"/>
      <c r="E2" s="56"/>
      <c r="F2" s="56"/>
      <c r="G2" s="56"/>
      <c r="H2" s="56"/>
    </row>
    <row r="3" spans="1:9" x14ac:dyDescent="0.3">
      <c r="A3" s="56"/>
      <c r="B3" s="62"/>
      <c r="C3" s="56"/>
      <c r="D3" s="56"/>
      <c r="E3" s="56"/>
      <c r="F3" s="56"/>
      <c r="G3" s="56"/>
      <c r="H3" s="56"/>
    </row>
    <row r="4" spans="1:9" x14ac:dyDescent="0.3">
      <c r="A4" s="56"/>
      <c r="B4" s="56"/>
      <c r="C4" s="67"/>
      <c r="D4" s="56"/>
      <c r="E4" s="56"/>
      <c r="F4" s="56"/>
      <c r="G4" s="56"/>
      <c r="H4" s="56"/>
    </row>
    <row r="5" spans="1:9" x14ac:dyDescent="0.3">
      <c r="A5" s="56"/>
      <c r="B5" s="59" t="s">
        <v>0</v>
      </c>
      <c r="C5" s="65" t="s">
        <v>48</v>
      </c>
      <c r="D5" s="60" t="s">
        <v>49</v>
      </c>
      <c r="E5" s="60" t="s">
        <v>52</v>
      </c>
      <c r="F5" s="60" t="s">
        <v>24</v>
      </c>
      <c r="G5" s="60" t="s">
        <v>17</v>
      </c>
      <c r="H5" s="61" t="s">
        <v>47</v>
      </c>
      <c r="I5" s="61" t="s">
        <v>46</v>
      </c>
    </row>
    <row r="6" spans="1:9" ht="17.25" customHeight="1" x14ac:dyDescent="0.3">
      <c r="A6" s="56"/>
      <c r="B6" s="94"/>
      <c r="C6" s="63"/>
      <c r="D6" s="57"/>
      <c r="E6" s="57"/>
      <c r="F6" s="57"/>
      <c r="G6" s="57"/>
      <c r="H6" s="57"/>
      <c r="I6" s="53"/>
    </row>
    <row r="7" spans="1:9" x14ac:dyDescent="0.3">
      <c r="A7" s="56"/>
      <c r="B7" s="56"/>
      <c r="C7" s="56"/>
      <c r="D7" s="56"/>
      <c r="E7" s="56"/>
      <c r="F7" s="56"/>
      <c r="G7" s="56"/>
      <c r="H7" s="56"/>
    </row>
    <row r="8" spans="1:9" x14ac:dyDescent="0.3">
      <c r="A8" s="56"/>
      <c r="B8" s="56"/>
      <c r="C8" s="56"/>
      <c r="D8" s="56"/>
      <c r="E8" s="56"/>
      <c r="F8" s="56"/>
      <c r="G8" s="56"/>
      <c r="H8" s="56"/>
    </row>
    <row r="9" spans="1:9" x14ac:dyDescent="0.3">
      <c r="A9" s="56"/>
      <c r="B9" s="56"/>
      <c r="C9" s="56"/>
      <c r="D9" s="56"/>
      <c r="E9" s="56"/>
      <c r="F9" s="56"/>
      <c r="G9" s="56"/>
      <c r="H9" s="56"/>
    </row>
    <row r="10" spans="1:9" x14ac:dyDescent="0.3">
      <c r="A10" s="56"/>
      <c r="B10" s="56"/>
      <c r="C10" s="56"/>
      <c r="D10" s="56"/>
      <c r="E10" s="56"/>
      <c r="F10" s="56"/>
      <c r="G10" s="56"/>
      <c r="H10" s="56"/>
    </row>
    <row r="11" spans="1:9" x14ac:dyDescent="0.3">
      <c r="A11" s="56"/>
      <c r="B11" s="56"/>
      <c r="C11" s="56"/>
      <c r="D11" s="56"/>
      <c r="E11" s="56"/>
      <c r="F11" s="56"/>
      <c r="G11" s="56"/>
      <c r="H11" s="56"/>
    </row>
    <row r="12" spans="1:9" x14ac:dyDescent="0.3">
      <c r="A12" s="56"/>
      <c r="B12" s="56"/>
      <c r="C12" s="56"/>
      <c r="D12" s="56"/>
      <c r="E12" s="56"/>
      <c r="F12" s="56"/>
      <c r="G12" s="56"/>
      <c r="H12" s="56"/>
    </row>
    <row r="13" spans="1:9" x14ac:dyDescent="0.3">
      <c r="A13" s="56"/>
      <c r="B13" s="56"/>
      <c r="C13" s="56"/>
      <c r="D13" s="56"/>
      <c r="E13" s="56"/>
      <c r="F13" s="56"/>
      <c r="G13" s="56"/>
      <c r="H13" s="56"/>
    </row>
    <row r="14" spans="1:9" x14ac:dyDescent="0.3">
      <c r="A14" s="56"/>
      <c r="B14" s="56"/>
      <c r="C14" s="56"/>
      <c r="D14" s="56"/>
      <c r="E14" s="56"/>
      <c r="F14" s="56"/>
      <c r="G14" s="56"/>
      <c r="H14" s="56"/>
    </row>
    <row r="15" spans="1:9" x14ac:dyDescent="0.3">
      <c r="A15" s="56"/>
      <c r="B15" s="56"/>
      <c r="C15" s="56"/>
      <c r="D15" s="56"/>
      <c r="E15" s="56"/>
      <c r="F15" s="56"/>
      <c r="G15" s="56"/>
      <c r="H15" s="56"/>
    </row>
    <row r="16" spans="1:9" x14ac:dyDescent="0.3">
      <c r="A16" s="56"/>
      <c r="B16" s="56"/>
      <c r="C16" s="56"/>
      <c r="D16" s="56"/>
      <c r="E16" s="56"/>
      <c r="F16" s="56"/>
      <c r="G16" s="56"/>
      <c r="H16" s="56"/>
    </row>
    <row r="17" spans="1:8" x14ac:dyDescent="0.3">
      <c r="A17" s="56"/>
      <c r="B17" s="56"/>
      <c r="C17" s="56"/>
      <c r="D17" s="56"/>
      <c r="E17" s="56"/>
      <c r="F17" s="56"/>
      <c r="G17" s="56"/>
      <c r="H17" s="56"/>
    </row>
    <row r="18" spans="1:8" x14ac:dyDescent="0.3">
      <c r="A18" s="56"/>
      <c r="B18" s="56"/>
      <c r="C18" s="56"/>
      <c r="D18" s="56"/>
      <c r="E18" s="56"/>
      <c r="F18" s="56"/>
      <c r="G18" s="56"/>
      <c r="H18" s="56"/>
    </row>
    <row r="19" spans="1:8" x14ac:dyDescent="0.3">
      <c r="A19" s="56"/>
      <c r="B19" s="56"/>
      <c r="C19" s="56"/>
      <c r="D19" s="56"/>
      <c r="E19" s="56"/>
      <c r="F19" s="56"/>
      <c r="G19" s="56"/>
      <c r="H19" s="56"/>
    </row>
    <row r="20" spans="1:8" x14ac:dyDescent="0.3">
      <c r="A20" s="56"/>
      <c r="B20" s="56"/>
      <c r="C20" s="56"/>
      <c r="D20" s="56"/>
      <c r="E20" s="56"/>
      <c r="F20" s="56"/>
      <c r="G20" s="56"/>
      <c r="H20" s="56"/>
    </row>
    <row r="21" spans="1:8" x14ac:dyDescent="0.3">
      <c r="A21" s="56"/>
      <c r="B21" s="56"/>
      <c r="C21" s="56"/>
      <c r="D21" s="56"/>
      <c r="E21" s="56"/>
      <c r="F21" s="56"/>
      <c r="G21" s="56"/>
      <c r="H21" s="56"/>
    </row>
    <row r="22" spans="1:8" x14ac:dyDescent="0.3">
      <c r="A22" s="56"/>
      <c r="B22" s="56"/>
      <c r="C22" s="56"/>
      <c r="D22" s="56"/>
      <c r="E22" s="56"/>
      <c r="F22" s="56"/>
      <c r="G22" s="56"/>
      <c r="H22" s="56"/>
    </row>
    <row r="23" spans="1:8" x14ac:dyDescent="0.3">
      <c r="A23" s="56"/>
      <c r="B23" s="56"/>
      <c r="C23" s="56"/>
      <c r="D23" s="56"/>
      <c r="E23" s="56"/>
      <c r="F23" s="56"/>
      <c r="G23" s="56"/>
      <c r="H23" s="56"/>
    </row>
    <row r="24" spans="1:8" x14ac:dyDescent="0.3">
      <c r="A24" s="56"/>
      <c r="B24" s="56"/>
      <c r="C24" s="56"/>
      <c r="D24" s="56"/>
      <c r="E24" s="56"/>
      <c r="F24" s="56"/>
      <c r="G24" s="56"/>
      <c r="H24" s="56"/>
    </row>
    <row r="25" spans="1:8" x14ac:dyDescent="0.3">
      <c r="A25" s="56"/>
      <c r="B25" s="56"/>
      <c r="C25" s="56"/>
      <c r="D25" s="56"/>
      <c r="E25" s="56"/>
      <c r="F25" s="56"/>
      <c r="G25" s="56"/>
      <c r="H25" s="56"/>
    </row>
    <row r="26" spans="1:8" x14ac:dyDescent="0.3">
      <c r="A26" s="56"/>
      <c r="B26" s="56"/>
      <c r="C26" s="56"/>
      <c r="D26" s="56"/>
      <c r="E26" s="56"/>
      <c r="F26" s="56"/>
      <c r="G26" s="56"/>
      <c r="H26" s="56"/>
    </row>
    <row r="27" spans="1:8" x14ac:dyDescent="0.3">
      <c r="A27" s="56"/>
      <c r="B27" s="56"/>
      <c r="C27" s="56"/>
      <c r="D27" s="56"/>
      <c r="E27" s="56"/>
      <c r="F27" s="56"/>
      <c r="G27" s="56"/>
      <c r="H27" s="56"/>
    </row>
    <row r="28" spans="1:8" x14ac:dyDescent="0.3">
      <c r="A28" s="56"/>
      <c r="B28" s="56"/>
      <c r="C28" s="56"/>
      <c r="D28" s="56"/>
      <c r="E28" s="56"/>
      <c r="F28" s="56"/>
      <c r="G28" s="56"/>
      <c r="H28" s="56"/>
    </row>
    <row r="29" spans="1:8" x14ac:dyDescent="0.3">
      <c r="A29" s="56"/>
      <c r="B29" s="56"/>
      <c r="C29" s="56"/>
      <c r="D29" s="56"/>
      <c r="E29" s="56"/>
      <c r="F29" s="56"/>
      <c r="G29" s="56"/>
      <c r="H29" s="56"/>
    </row>
    <row r="30" spans="1:8" x14ac:dyDescent="0.3">
      <c r="A30" s="56"/>
      <c r="B30" s="56"/>
      <c r="C30" s="56"/>
      <c r="D30" s="56"/>
      <c r="E30" s="56"/>
      <c r="F30" s="56"/>
      <c r="G30" s="56"/>
      <c r="H30" s="56"/>
    </row>
    <row r="31" spans="1:8" x14ac:dyDescent="0.3">
      <c r="A31" s="56"/>
      <c r="B31" s="56"/>
      <c r="C31" s="56"/>
      <c r="D31" s="56"/>
      <c r="E31" s="56"/>
      <c r="F31" s="56"/>
      <c r="G31" s="56"/>
      <c r="H31" s="56"/>
    </row>
    <row r="32" spans="1:8" x14ac:dyDescent="0.3">
      <c r="A32" s="56"/>
      <c r="B32" s="56"/>
      <c r="C32" s="56"/>
      <c r="D32" s="56"/>
      <c r="E32" s="56"/>
      <c r="F32" s="56"/>
      <c r="G32" s="56"/>
      <c r="H32" s="56"/>
    </row>
    <row r="33" spans="1:8" x14ac:dyDescent="0.3">
      <c r="A33" s="56"/>
      <c r="B33" s="56"/>
      <c r="C33" s="56"/>
      <c r="D33" s="56"/>
      <c r="E33" s="56"/>
      <c r="F33" s="56"/>
      <c r="G33" s="56"/>
      <c r="H33" s="56"/>
    </row>
  </sheetData>
  <dataValidations count="2">
    <dataValidation showInputMessage="1" showErrorMessage="1" sqref="B6"/>
    <dataValidation type="list" showInputMessage="1" showErrorMessage="1" sqref="I6">
      <formula1>"Approved,Let's meet for discussion,Not Approved"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6150" r:id="rId5" name="ShowMyDirectsLeave">
          <controlPr defaultSize="0" autoLine="0" r:id="rId6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3</xdr:col>
                <xdr:colOff>371475</xdr:colOff>
                <xdr:row>4</xdr:row>
                <xdr:rowOff>38100</xdr:rowOff>
              </to>
            </anchor>
          </controlPr>
        </control>
      </mc:Choice>
      <mc:Fallback>
        <control shapeId="6150" r:id="rId5" name="ShowMyDirectsLeave"/>
      </mc:Fallback>
    </mc:AlternateContent>
    <mc:AlternateContent xmlns:mc="http://schemas.openxmlformats.org/markup-compatibility/2006">
      <mc:Choice Requires="x14">
        <control shapeId="6151" r:id="rId7" name="Show_All_Leaves">
          <controlPr defaultSize="0" autoLine="0" autoPict="0" r:id="rId8">
            <anchor moveWithCells="1">
              <from>
                <xdr:col>8</xdr:col>
                <xdr:colOff>666750</xdr:colOff>
                <xdr:row>2</xdr:row>
                <xdr:rowOff>152400</xdr:rowOff>
              </from>
              <to>
                <xdr:col>9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6151" r:id="rId7" name="Show_All_Leaves"/>
      </mc:Fallback>
    </mc:AlternateContent>
  </controls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B1:G100"/>
  <sheetViews>
    <sheetView showGridLines="0" workbookViewId="0"/>
  </sheetViews>
  <sheetFormatPr defaultRowHeight="15" x14ac:dyDescent="0.3"/>
  <cols>
    <col min="1" max="1" width="20" customWidth="1"/>
    <col min="2" max="2" width="30.28515625" style="53" customWidth="1"/>
    <col min="3" max="3" width="14.140625" style="53" bestFit="1" customWidth="1"/>
    <col min="4" max="5" width="13.28515625" style="53" bestFit="1" customWidth="1"/>
    <col min="6" max="6" width="12.42578125" style="53" bestFit="1" customWidth="1"/>
    <col min="7" max="7" width="9.140625" style="53"/>
  </cols>
  <sheetData>
    <row r="1" spans="2:7" x14ac:dyDescent="0.3">
      <c r="B1"/>
      <c r="C1"/>
      <c r="D1"/>
      <c r="E1"/>
      <c r="F1"/>
      <c r="G1"/>
    </row>
    <row r="2" spans="2:7" x14ac:dyDescent="0.3">
      <c r="B2"/>
      <c r="C2"/>
      <c r="D2"/>
      <c r="E2"/>
      <c r="F2"/>
      <c r="G2"/>
    </row>
    <row r="3" spans="2:7" x14ac:dyDescent="0.3">
      <c r="B3"/>
      <c r="C3"/>
      <c r="D3"/>
      <c r="E3"/>
      <c r="F3"/>
      <c r="G3"/>
    </row>
    <row r="4" spans="2:7" x14ac:dyDescent="0.3">
      <c r="B4"/>
      <c r="C4"/>
      <c r="D4"/>
      <c r="E4"/>
      <c r="F4"/>
      <c r="G4"/>
    </row>
    <row r="5" spans="2:7" x14ac:dyDescent="0.3">
      <c r="B5"/>
      <c r="C5"/>
      <c r="D5"/>
      <c r="E5"/>
      <c r="F5"/>
      <c r="G5"/>
    </row>
    <row r="6" spans="2:7" x14ac:dyDescent="0.3">
      <c r="B6"/>
      <c r="C6"/>
      <c r="D6"/>
      <c r="E6"/>
      <c r="F6"/>
      <c r="G6"/>
    </row>
    <row r="7" spans="2:7" x14ac:dyDescent="0.3">
      <c r="B7"/>
      <c r="C7"/>
      <c r="D7"/>
      <c r="E7"/>
      <c r="F7"/>
      <c r="G7"/>
    </row>
    <row r="8" spans="2:7" x14ac:dyDescent="0.3">
      <c r="B8"/>
      <c r="C8"/>
      <c r="D8"/>
      <c r="E8"/>
      <c r="F8"/>
      <c r="G8"/>
    </row>
    <row r="9" spans="2:7" x14ac:dyDescent="0.3">
      <c r="B9"/>
      <c r="C9"/>
      <c r="D9"/>
      <c r="E9"/>
      <c r="F9"/>
      <c r="G9"/>
    </row>
    <row r="10" spans="2:7" x14ac:dyDescent="0.3">
      <c r="B10"/>
      <c r="C10"/>
      <c r="D10"/>
      <c r="E10"/>
      <c r="F10"/>
      <c r="G10"/>
    </row>
    <row r="11" spans="2:7" x14ac:dyDescent="0.3">
      <c r="B11"/>
      <c r="C11"/>
      <c r="D11"/>
      <c r="E11"/>
      <c r="F11"/>
      <c r="G11"/>
    </row>
    <row r="12" spans="2:7" x14ac:dyDescent="0.3">
      <c r="B12"/>
      <c r="C12"/>
      <c r="D12"/>
      <c r="E12"/>
      <c r="F12"/>
      <c r="G12"/>
    </row>
    <row r="13" spans="2:7" x14ac:dyDescent="0.3">
      <c r="B13"/>
      <c r="C13"/>
      <c r="D13"/>
      <c r="E13"/>
      <c r="F13"/>
      <c r="G13"/>
    </row>
    <row r="14" spans="2:7" x14ac:dyDescent="0.3">
      <c r="B14"/>
      <c r="C14"/>
      <c r="D14"/>
      <c r="E14"/>
      <c r="F14"/>
      <c r="G14"/>
    </row>
    <row r="15" spans="2:7" x14ac:dyDescent="0.3">
      <c r="B15"/>
      <c r="C15"/>
      <c r="D15"/>
      <c r="E15"/>
      <c r="F15"/>
      <c r="G15"/>
    </row>
    <row r="16" spans="2:7" x14ac:dyDescent="0.3">
      <c r="B16"/>
      <c r="C16"/>
      <c r="D16"/>
      <c r="E16"/>
      <c r="F16"/>
      <c r="G16"/>
    </row>
    <row r="17" spans="2:7" x14ac:dyDescent="0.3">
      <c r="B17"/>
      <c r="C17"/>
      <c r="D17"/>
      <c r="E17"/>
      <c r="F17"/>
      <c r="G17"/>
    </row>
    <row r="18" spans="2:7" x14ac:dyDescent="0.3">
      <c r="B18"/>
      <c r="C18"/>
      <c r="D18"/>
      <c r="E18"/>
      <c r="F18"/>
      <c r="G18"/>
    </row>
    <row r="19" spans="2:7" x14ac:dyDescent="0.3">
      <c r="B19"/>
      <c r="C19"/>
      <c r="D19"/>
      <c r="E19"/>
      <c r="F19"/>
      <c r="G19"/>
    </row>
    <row r="20" spans="2:7" x14ac:dyDescent="0.3">
      <c r="B20"/>
      <c r="C20"/>
      <c r="D20"/>
      <c r="E20"/>
      <c r="F20"/>
      <c r="G20"/>
    </row>
    <row r="21" spans="2:7" x14ac:dyDescent="0.3">
      <c r="B21"/>
      <c r="C21"/>
      <c r="D21"/>
      <c r="E21"/>
      <c r="F21"/>
      <c r="G21"/>
    </row>
    <row r="22" spans="2:7" x14ac:dyDescent="0.3">
      <c r="B22"/>
      <c r="C22"/>
      <c r="D22"/>
      <c r="E22"/>
      <c r="F22"/>
      <c r="G22"/>
    </row>
    <row r="23" spans="2:7" x14ac:dyDescent="0.3">
      <c r="B23"/>
      <c r="C23"/>
      <c r="D23"/>
      <c r="E23"/>
      <c r="F23"/>
      <c r="G23"/>
    </row>
    <row r="24" spans="2:7" x14ac:dyDescent="0.3">
      <c r="B24"/>
      <c r="C24"/>
      <c r="D24"/>
      <c r="E24"/>
      <c r="F24"/>
      <c r="G24"/>
    </row>
    <row r="25" spans="2:7" x14ac:dyDescent="0.3">
      <c r="B25"/>
      <c r="C25"/>
      <c r="D25"/>
      <c r="E25"/>
      <c r="F25"/>
      <c r="G25"/>
    </row>
    <row r="26" spans="2:7" x14ac:dyDescent="0.3">
      <c r="B26"/>
      <c r="C26"/>
      <c r="D26"/>
      <c r="E26"/>
      <c r="F26"/>
      <c r="G26"/>
    </row>
    <row r="27" spans="2:7" x14ac:dyDescent="0.3">
      <c r="B27"/>
      <c r="C27"/>
      <c r="D27"/>
      <c r="E27"/>
      <c r="F27"/>
      <c r="G27"/>
    </row>
    <row r="28" spans="2:7" x14ac:dyDescent="0.3">
      <c r="B28"/>
      <c r="C28"/>
      <c r="D28"/>
      <c r="E28"/>
      <c r="F28"/>
      <c r="G28"/>
    </row>
    <row r="29" spans="2:7" x14ac:dyDescent="0.3">
      <c r="B29"/>
      <c r="C29"/>
      <c r="D29"/>
      <c r="E29"/>
      <c r="F29"/>
      <c r="G29"/>
    </row>
    <row r="30" spans="2:7" x14ac:dyDescent="0.3">
      <c r="B30"/>
      <c r="C30"/>
      <c r="D30"/>
      <c r="E30"/>
      <c r="F30"/>
      <c r="G30"/>
    </row>
    <row r="31" spans="2:7" x14ac:dyDescent="0.3">
      <c r="B31"/>
      <c r="C31"/>
      <c r="D31"/>
      <c r="E31"/>
      <c r="F31"/>
      <c r="G31"/>
    </row>
    <row r="32" spans="2:7" x14ac:dyDescent="0.3">
      <c r="B32"/>
      <c r="C32"/>
      <c r="D32"/>
      <c r="E32"/>
      <c r="F32"/>
      <c r="G32"/>
    </row>
    <row r="33" spans="2:7" x14ac:dyDescent="0.3">
      <c r="B33"/>
      <c r="C33"/>
      <c r="D33"/>
      <c r="E33"/>
      <c r="F33"/>
      <c r="G33"/>
    </row>
    <row r="34" spans="2:7" x14ac:dyDescent="0.3">
      <c r="B34"/>
      <c r="C34"/>
      <c r="D34"/>
      <c r="E34"/>
      <c r="F34"/>
      <c r="G34"/>
    </row>
    <row r="35" spans="2:7" x14ac:dyDescent="0.3">
      <c r="B35"/>
      <c r="C35"/>
      <c r="D35"/>
      <c r="E35"/>
      <c r="F35"/>
      <c r="G35"/>
    </row>
    <row r="36" spans="2:7" x14ac:dyDescent="0.3">
      <c r="B36"/>
      <c r="C36"/>
      <c r="D36"/>
      <c r="E36"/>
      <c r="F36"/>
      <c r="G36"/>
    </row>
    <row r="37" spans="2:7" x14ac:dyDescent="0.3">
      <c r="B37"/>
      <c r="C37"/>
      <c r="D37"/>
      <c r="E37"/>
      <c r="F37"/>
      <c r="G37"/>
    </row>
    <row r="38" spans="2:7" x14ac:dyDescent="0.3">
      <c r="B38"/>
      <c r="C38"/>
      <c r="D38"/>
      <c r="E38"/>
      <c r="F38"/>
      <c r="G38"/>
    </row>
    <row r="39" spans="2:7" x14ac:dyDescent="0.3">
      <c r="B39"/>
      <c r="C39"/>
      <c r="D39"/>
      <c r="E39"/>
      <c r="F39"/>
      <c r="G39"/>
    </row>
    <row r="40" spans="2:7" x14ac:dyDescent="0.3">
      <c r="B40"/>
      <c r="C40"/>
      <c r="D40"/>
      <c r="E40"/>
      <c r="F40"/>
      <c r="G40"/>
    </row>
    <row r="41" spans="2:7" x14ac:dyDescent="0.3">
      <c r="B41"/>
      <c r="C41"/>
      <c r="D41"/>
      <c r="E41"/>
      <c r="F41"/>
      <c r="G41"/>
    </row>
    <row r="42" spans="2:7" x14ac:dyDescent="0.3">
      <c r="B42"/>
      <c r="C42"/>
      <c r="D42"/>
      <c r="E42"/>
      <c r="F42"/>
      <c r="G42"/>
    </row>
    <row r="43" spans="2:7" x14ac:dyDescent="0.3">
      <c r="B43"/>
      <c r="C43"/>
      <c r="D43"/>
      <c r="E43"/>
      <c r="F43"/>
      <c r="G43"/>
    </row>
    <row r="44" spans="2:7" x14ac:dyDescent="0.3">
      <c r="B44"/>
      <c r="C44"/>
      <c r="D44"/>
      <c r="E44"/>
      <c r="F44"/>
      <c r="G44"/>
    </row>
    <row r="45" spans="2:7" x14ac:dyDescent="0.3">
      <c r="B45"/>
      <c r="C45"/>
      <c r="D45"/>
      <c r="E45"/>
      <c r="F45"/>
      <c r="G45"/>
    </row>
    <row r="46" spans="2:7" x14ac:dyDescent="0.3">
      <c r="B46"/>
      <c r="C46"/>
      <c r="D46"/>
      <c r="E46"/>
      <c r="F46"/>
      <c r="G46"/>
    </row>
    <row r="47" spans="2:7" x14ac:dyDescent="0.3">
      <c r="B47"/>
      <c r="C47"/>
      <c r="D47"/>
      <c r="E47"/>
      <c r="F47"/>
      <c r="G47"/>
    </row>
    <row r="48" spans="2:7" x14ac:dyDescent="0.3">
      <c r="B48"/>
      <c r="C48"/>
      <c r="D48"/>
      <c r="E48"/>
      <c r="F48"/>
      <c r="G48"/>
    </row>
    <row r="49" spans="2:7" x14ac:dyDescent="0.3">
      <c r="B49"/>
      <c r="C49"/>
      <c r="D49"/>
      <c r="E49"/>
      <c r="F49"/>
      <c r="G49"/>
    </row>
    <row r="50" spans="2:7" x14ac:dyDescent="0.3">
      <c r="B50"/>
      <c r="C50"/>
      <c r="D50"/>
      <c r="E50"/>
      <c r="F50"/>
      <c r="G50"/>
    </row>
    <row r="51" spans="2:7" x14ac:dyDescent="0.3">
      <c r="B51"/>
      <c r="C51"/>
      <c r="D51"/>
      <c r="E51"/>
      <c r="F51"/>
      <c r="G51"/>
    </row>
    <row r="52" spans="2:7" x14ac:dyDescent="0.3">
      <c r="B52"/>
      <c r="C52"/>
      <c r="D52"/>
      <c r="E52"/>
      <c r="F52"/>
      <c r="G52"/>
    </row>
    <row r="53" spans="2:7" x14ac:dyDescent="0.3">
      <c r="B53"/>
      <c r="C53"/>
      <c r="D53"/>
      <c r="E53"/>
      <c r="F53"/>
      <c r="G53"/>
    </row>
    <row r="54" spans="2:7" x14ac:dyDescent="0.3">
      <c r="B54"/>
      <c r="C54"/>
      <c r="D54"/>
      <c r="E54"/>
      <c r="F54"/>
      <c r="G54"/>
    </row>
    <row r="55" spans="2:7" x14ac:dyDescent="0.3">
      <c r="B55"/>
      <c r="C55"/>
      <c r="D55"/>
      <c r="E55"/>
      <c r="F55"/>
      <c r="G55"/>
    </row>
    <row r="56" spans="2:7" x14ac:dyDescent="0.3">
      <c r="B56"/>
      <c r="C56"/>
      <c r="D56"/>
      <c r="E56"/>
      <c r="F56"/>
      <c r="G56"/>
    </row>
    <row r="57" spans="2:7" x14ac:dyDescent="0.3">
      <c r="B57"/>
      <c r="C57"/>
      <c r="D57"/>
      <c r="E57"/>
      <c r="F57"/>
      <c r="G57"/>
    </row>
    <row r="58" spans="2:7" x14ac:dyDescent="0.3">
      <c r="B58"/>
      <c r="C58"/>
      <c r="D58"/>
      <c r="E58"/>
      <c r="F58"/>
      <c r="G58"/>
    </row>
    <row r="59" spans="2:7" x14ac:dyDescent="0.3">
      <c r="B59"/>
      <c r="C59"/>
      <c r="D59"/>
      <c r="E59"/>
      <c r="F59"/>
      <c r="G59"/>
    </row>
    <row r="60" spans="2:7" x14ac:dyDescent="0.3">
      <c r="B60"/>
      <c r="C60"/>
      <c r="D60"/>
      <c r="E60"/>
      <c r="F60"/>
      <c r="G60"/>
    </row>
    <row r="61" spans="2:7" x14ac:dyDescent="0.3">
      <c r="B61"/>
      <c r="C61"/>
      <c r="D61"/>
      <c r="E61"/>
      <c r="F61"/>
      <c r="G61"/>
    </row>
    <row r="62" spans="2:7" x14ac:dyDescent="0.3">
      <c r="B62"/>
      <c r="C62"/>
      <c r="D62"/>
      <c r="E62"/>
      <c r="F62"/>
      <c r="G62"/>
    </row>
    <row r="63" spans="2:7" x14ac:dyDescent="0.3">
      <c r="B63"/>
      <c r="C63"/>
      <c r="D63"/>
      <c r="E63"/>
      <c r="F63"/>
      <c r="G63"/>
    </row>
    <row r="64" spans="2:7" x14ac:dyDescent="0.3">
      <c r="B64"/>
      <c r="C64"/>
      <c r="D64"/>
      <c r="E64"/>
      <c r="F64"/>
      <c r="G64"/>
    </row>
    <row r="65" spans="2:7" x14ac:dyDescent="0.3">
      <c r="B65"/>
      <c r="C65"/>
      <c r="D65"/>
      <c r="E65"/>
      <c r="F65"/>
      <c r="G65"/>
    </row>
    <row r="66" spans="2:7" x14ac:dyDescent="0.3">
      <c r="B66"/>
      <c r="C66"/>
      <c r="D66"/>
      <c r="E66"/>
      <c r="F66"/>
      <c r="G66"/>
    </row>
    <row r="67" spans="2:7" x14ac:dyDescent="0.3">
      <c r="B67"/>
      <c r="C67"/>
      <c r="D67"/>
      <c r="E67"/>
      <c r="F67"/>
      <c r="G67"/>
    </row>
    <row r="68" spans="2:7" x14ac:dyDescent="0.3">
      <c r="B68"/>
      <c r="C68"/>
      <c r="D68"/>
      <c r="E68"/>
      <c r="F68"/>
      <c r="G68"/>
    </row>
    <row r="69" spans="2:7" x14ac:dyDescent="0.3">
      <c r="B69"/>
      <c r="C69"/>
      <c r="D69"/>
      <c r="E69"/>
      <c r="F69"/>
      <c r="G69"/>
    </row>
    <row r="70" spans="2:7" x14ac:dyDescent="0.3">
      <c r="B70"/>
      <c r="C70"/>
      <c r="D70"/>
      <c r="E70"/>
      <c r="F70"/>
      <c r="G70"/>
    </row>
    <row r="71" spans="2:7" x14ac:dyDescent="0.3">
      <c r="B71"/>
      <c r="C71"/>
      <c r="D71"/>
      <c r="E71"/>
      <c r="F71"/>
      <c r="G71"/>
    </row>
    <row r="72" spans="2:7" x14ac:dyDescent="0.3">
      <c r="B72"/>
      <c r="C72"/>
      <c r="D72"/>
      <c r="E72"/>
      <c r="F72"/>
      <c r="G72"/>
    </row>
    <row r="73" spans="2:7" x14ac:dyDescent="0.3">
      <c r="B73"/>
      <c r="C73"/>
      <c r="D73"/>
      <c r="E73"/>
      <c r="F73"/>
      <c r="G73"/>
    </row>
    <row r="74" spans="2:7" x14ac:dyDescent="0.3">
      <c r="B74"/>
      <c r="C74"/>
      <c r="D74"/>
      <c r="E74"/>
      <c r="F74"/>
      <c r="G74"/>
    </row>
    <row r="75" spans="2:7" x14ac:dyDescent="0.3">
      <c r="B75"/>
      <c r="C75"/>
      <c r="D75"/>
      <c r="E75"/>
      <c r="F75"/>
      <c r="G75"/>
    </row>
    <row r="76" spans="2:7" x14ac:dyDescent="0.3">
      <c r="B76"/>
      <c r="C76"/>
      <c r="D76"/>
      <c r="E76"/>
      <c r="F76"/>
      <c r="G76"/>
    </row>
    <row r="77" spans="2:7" x14ac:dyDescent="0.3">
      <c r="B77"/>
      <c r="C77"/>
      <c r="D77"/>
      <c r="E77"/>
      <c r="F77"/>
      <c r="G77"/>
    </row>
    <row r="78" spans="2:7" x14ac:dyDescent="0.3">
      <c r="B78"/>
      <c r="C78"/>
      <c r="D78"/>
      <c r="E78"/>
      <c r="F78"/>
      <c r="G78"/>
    </row>
    <row r="79" spans="2:7" x14ac:dyDescent="0.3">
      <c r="B79"/>
      <c r="C79"/>
      <c r="D79"/>
      <c r="E79"/>
      <c r="F79"/>
      <c r="G79"/>
    </row>
    <row r="80" spans="2:7" x14ac:dyDescent="0.3">
      <c r="B80"/>
      <c r="C80"/>
      <c r="D80"/>
      <c r="E80"/>
      <c r="F80"/>
      <c r="G80"/>
    </row>
    <row r="81" spans="2:7" x14ac:dyDescent="0.3">
      <c r="B81"/>
      <c r="C81"/>
      <c r="D81"/>
      <c r="E81"/>
      <c r="F81"/>
      <c r="G81"/>
    </row>
    <row r="82" spans="2:7" x14ac:dyDescent="0.3">
      <c r="B82"/>
      <c r="C82"/>
      <c r="D82"/>
      <c r="E82"/>
      <c r="F82"/>
      <c r="G82"/>
    </row>
    <row r="83" spans="2:7" x14ac:dyDescent="0.3">
      <c r="B83"/>
      <c r="C83"/>
      <c r="D83"/>
      <c r="E83"/>
      <c r="F83"/>
      <c r="G83"/>
    </row>
    <row r="84" spans="2:7" x14ac:dyDescent="0.3">
      <c r="B84"/>
      <c r="C84"/>
      <c r="D84"/>
      <c r="E84"/>
      <c r="F84"/>
      <c r="G84"/>
    </row>
    <row r="85" spans="2:7" x14ac:dyDescent="0.3">
      <c r="B85"/>
      <c r="C85"/>
      <c r="D85"/>
      <c r="E85"/>
      <c r="F85"/>
      <c r="G85"/>
    </row>
    <row r="86" spans="2:7" x14ac:dyDescent="0.3">
      <c r="B86"/>
      <c r="C86"/>
      <c r="D86"/>
      <c r="E86"/>
      <c r="F86"/>
      <c r="G86"/>
    </row>
    <row r="87" spans="2:7" x14ac:dyDescent="0.3">
      <c r="B87"/>
      <c r="C87"/>
      <c r="D87"/>
      <c r="E87"/>
      <c r="F87"/>
      <c r="G87"/>
    </row>
    <row r="88" spans="2:7" x14ac:dyDescent="0.3">
      <c r="B88"/>
      <c r="C88"/>
      <c r="D88"/>
      <c r="E88"/>
      <c r="F88"/>
      <c r="G88"/>
    </row>
    <row r="89" spans="2:7" x14ac:dyDescent="0.3">
      <c r="B89"/>
      <c r="C89"/>
      <c r="D89"/>
      <c r="E89"/>
      <c r="F89"/>
      <c r="G89"/>
    </row>
    <row r="90" spans="2:7" x14ac:dyDescent="0.3">
      <c r="B90"/>
      <c r="C90"/>
      <c r="D90"/>
      <c r="E90"/>
      <c r="F90"/>
      <c r="G90"/>
    </row>
    <row r="91" spans="2:7" x14ac:dyDescent="0.3">
      <c r="B91"/>
      <c r="C91"/>
      <c r="D91"/>
      <c r="E91"/>
      <c r="F91"/>
      <c r="G91"/>
    </row>
    <row r="92" spans="2:7" x14ac:dyDescent="0.3">
      <c r="B92"/>
      <c r="C92"/>
      <c r="D92"/>
      <c r="E92"/>
      <c r="F92"/>
      <c r="G92"/>
    </row>
    <row r="93" spans="2:7" x14ac:dyDescent="0.3">
      <c r="B93"/>
      <c r="C93"/>
      <c r="D93"/>
      <c r="E93"/>
      <c r="F93"/>
      <c r="G93"/>
    </row>
    <row r="94" spans="2:7" x14ac:dyDescent="0.3">
      <c r="B94"/>
      <c r="C94"/>
      <c r="D94"/>
      <c r="E94"/>
      <c r="F94"/>
      <c r="G94"/>
    </row>
    <row r="95" spans="2:7" x14ac:dyDescent="0.3">
      <c r="B95"/>
      <c r="C95"/>
      <c r="D95"/>
      <c r="E95"/>
      <c r="F95"/>
      <c r="G95"/>
    </row>
    <row r="96" spans="2:7" x14ac:dyDescent="0.3">
      <c r="B96"/>
      <c r="C96"/>
      <c r="D96"/>
      <c r="E96"/>
      <c r="F96"/>
      <c r="G96"/>
    </row>
    <row r="97" spans="2:7" x14ac:dyDescent="0.3">
      <c r="B97"/>
      <c r="C97"/>
      <c r="D97"/>
      <c r="E97"/>
      <c r="F97"/>
      <c r="G97"/>
    </row>
    <row r="98" spans="2:7" x14ac:dyDescent="0.3">
      <c r="B98"/>
      <c r="C98"/>
      <c r="D98"/>
      <c r="E98"/>
      <c r="F98"/>
      <c r="G98"/>
    </row>
    <row r="99" spans="2:7" x14ac:dyDescent="0.3">
      <c r="B99"/>
      <c r="C99"/>
      <c r="D99"/>
      <c r="E99"/>
      <c r="F99"/>
      <c r="G99"/>
    </row>
    <row r="100" spans="2:7" x14ac:dyDescent="0.3">
      <c r="B100"/>
      <c r="C100"/>
      <c r="D100"/>
      <c r="E100"/>
      <c r="F100"/>
      <c r="G10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ACE6DA94-4A04-4E40-B175-D4D1DA24C6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Calendar View</vt:lpstr>
      <vt:lpstr>Combined Leave View</vt:lpstr>
      <vt:lpstr>Employee Leave Tracker</vt:lpstr>
      <vt:lpstr>Settings</vt:lpstr>
      <vt:lpstr>AcknowledgeSheet</vt:lpstr>
      <vt:lpstr>SnapmailSheet</vt:lpstr>
      <vt:lpstr>lstEDates</vt:lpstr>
      <vt:lpstr>lstEmployees</vt:lpstr>
      <vt:lpstr>lstEmpNames</vt:lpstr>
      <vt:lpstr>lstHolidays</vt:lpstr>
      <vt:lpstr>lstHolidayTypes</vt:lpstr>
      <vt:lpstr>lstHTypes</vt:lpstr>
      <vt:lpstr>lstSdates</vt:lpstr>
      <vt:lpstr>valSelEmployee</vt:lpstr>
      <vt:lpstr>WeekView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Employee attendance tracker</dc:title>
  <dc:creator>Gagandeep Singh (TQA)</dc:creator>
  <cp:lastModifiedBy>Ashutosh Kumar (CHR)</cp:lastModifiedBy>
  <dcterms:created xsi:type="dcterms:W3CDTF">2015-11-27T09:54:21Z</dcterms:created>
  <dcterms:modified xsi:type="dcterms:W3CDTF">2017-08-22T09:31:32Z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TC027802359991</vt:lpwstr>
  </property>
</Properties>
</file>