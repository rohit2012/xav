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5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ctrlProps/ctrlProp1.xml" ContentType="application/vnd.ms-excel.controlproperties+xml"/>
  <Override PartName="/xl/drawings/drawing6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XEN-705\Automation\Others\Utilities\"/>
    </mc:Choice>
  </mc:AlternateContent>
  <bookViews>
    <workbookView xWindow="120" yWindow="30" windowWidth="15120" windowHeight="7305"/>
  </bookViews>
  <sheets>
    <sheet name="SubmitTimeEntry" sheetId="1" r:id="rId1"/>
    <sheet name="ReviewTimeEntry" sheetId="7" state="veryHidden" r:id="rId2"/>
    <sheet name="RMTimeEntryManagement" sheetId="2" state="veryHidden" r:id="rId3"/>
    <sheet name="ClarityProjectManagment" sheetId="3" state="veryHidden" r:id="rId4"/>
    <sheet name="ExportTimeEntry" sheetId="4" state="veryHidden" r:id="rId5"/>
    <sheet name="CapacityPlanning" sheetId="8" state="veryHidden" r:id="rId6"/>
    <sheet name="ResourceList" sheetId="10" state="veryHidden" r:id="rId7"/>
    <sheet name="SnapMailSheet" sheetId="6" state="veryHidden" r:id="rId8"/>
    <sheet name="UserRequestAndApprovals" sheetId="11" r:id="rId9"/>
    <sheet name="AssignDeassignViewAuthorization" sheetId="12" state="veryHidden" r:id="rId10"/>
  </sheets>
  <functionGroups builtInGroupCount="18"/>
  <externalReferences>
    <externalReference r:id="rId11"/>
  </externalReferences>
  <definedNames>
    <definedName name="_2015_SB_eCommerce_Projects" localSheetId="1">ClarityProjectManagment!#REF!</definedName>
    <definedName name="_2015_SB_eCommerce_Projects">ReviewTimeEntry!$AB$29:$AB$36</definedName>
    <definedName name="_xlnm._FilterDatabase" localSheetId="5" hidden="1">CapacityPlanning!$C$1:$C$15</definedName>
    <definedName name="_xlnm._FilterDatabase" localSheetId="3" hidden="1">ClarityProjectManagment!#REF!</definedName>
    <definedName name="_xlnm._FilterDatabase" localSheetId="4" hidden="1">ExportTimeEntry!$A$12:$I$12</definedName>
    <definedName name="_xlnm._FilterDatabase" localSheetId="2" hidden="1">RMTimeEntryManagement!$C$16:$C$16</definedName>
    <definedName name="_xlnm._FilterDatabase" localSheetId="0" hidden="1">SubmitTimeEntry!$A$2:$A$29</definedName>
    <definedName name="AllProjects" localSheetId="1">ClarityProjectManagment!#REF!</definedName>
    <definedName name="AllProjects">ReviewTimeEntry!$AB$29:$AB$36</definedName>
    <definedName name="AllProjectsToAssign" localSheetId="1">ClarityProjectManagment!#REF!</definedName>
    <definedName name="ClarityPro">#REF!</definedName>
    <definedName name="ClarityProj" localSheetId="1">SubmitTimeEntry!$D$15</definedName>
    <definedName name="ClarityProj">ReviewTimeEntry!$AA$29:$AA$34</definedName>
    <definedName name="ClarityProject" localSheetId="1">ClarityProjectManagment!#REF!</definedName>
    <definedName name="ClarityProject">#REF!</definedName>
    <definedName name="ClarityProject1" localSheetId="3">ClarityProjectManagment!#REF!</definedName>
    <definedName name="ClarityProject1" localSheetId="1">ClarityProjectManagment!#REF!</definedName>
    <definedName name="ClarityProject2" localSheetId="1">ClarityProjectManagment!#REF!</definedName>
    <definedName name="ClarityProjects" localSheetId="1">SubmitTimeEntry!$D$14</definedName>
    <definedName name="ClarityProjects">ReviewTimeEntry!$AA$29:$AA$36</definedName>
    <definedName name="Data" localSheetId="3">ClarityProjectManagment!#REF!</definedName>
    <definedName name="Data" localSheetId="4">ExportTimeEntry!#REF!</definedName>
    <definedName name="Data" localSheetId="1">SubmitTimeEntry!$D$14</definedName>
    <definedName name="Data" localSheetId="2">RMTimeEntryManagement!#REF!</definedName>
    <definedName name="Data" localSheetId="0">SubmitTimeEntry!$AN$30:$AN$45</definedName>
    <definedName name="Data1" localSheetId="1">SubmitTimeEntry!$D$14</definedName>
    <definedName name="DatabasePath">#REF!</definedName>
    <definedName name="Date">SubmitTimeEntry!$F$13:$L$13</definedName>
    <definedName name="DBConnectionType">SubmitTimeEntry!$M$7</definedName>
    <definedName name="DBStatus">SubmitTimeEntry!#REF!</definedName>
    <definedName name="Jag">#REF!</definedName>
    <definedName name="JagPravesh">#REF!</definedName>
    <definedName name="ListNamedRange">SubmitTimeEntry!#REF!</definedName>
    <definedName name="ListNamedRange1">SubmitTimeEntry!#REF!</definedName>
    <definedName name="LocalDatabasePath">#REF!</definedName>
    <definedName name="Nishant">#REF!</definedName>
    <definedName name="ProjectStatus">[1]ExportSheet!#REF!</definedName>
    <definedName name="Ravindra">#REF!</definedName>
    <definedName name="Record" localSheetId="5">CapacityPlanning!#REF!</definedName>
    <definedName name="Record" localSheetId="2">RMTimeEntryManagement!#REF!</definedName>
    <definedName name="Record" localSheetId="0">SubmitTimeEntry!#REF!</definedName>
    <definedName name="Resources" localSheetId="0">SubmitTimeEntry!$AN$29:$AN$46</definedName>
    <definedName name="ReviewedBY">ReviewTimeEntry!$B$8</definedName>
    <definedName name="Reviewers" localSheetId="0">ClarityProjectManagment!$C$5</definedName>
    <definedName name="tasks" localSheetId="6">SubmitTimeEntry!$E$14</definedName>
    <definedName name="UserClarityStatus">SubmitTimeEntry!$D$10</definedName>
    <definedName name="UserData" localSheetId="9">AssignDeassignViewAuthorization!#REF!</definedName>
    <definedName name="UserData" localSheetId="3">ClarityProjectManagment!#REF!</definedName>
    <definedName name="UserData" localSheetId="8">UserRequestAndApprovals!#REF!</definedName>
    <definedName name="ViewResources">[1]ExportSheet!#REF!</definedName>
    <definedName name="Z_C002DE34_9017_4B24_BEC0_B3132A326B4B_.wvu.FilterData" localSheetId="0" hidden="1">SubmitTimeEntry!$A$2:$A$29</definedName>
  </definedNames>
  <calcPr calcId="152511"/>
  <customWorkbookViews>
    <customWorkbookView name="Abhishek Srivastava - Personal View" guid="{C002DE34-9017-4B24-BEC0-B3132A326B4B}" mergeInterval="0" personalView="1" maximized="1" windowWidth="1362" windowHeight="565" activeSheetId="1" showFormulaBar="0"/>
  </customWorkbookViews>
</workbook>
</file>

<file path=xl/calcChain.xml><?xml version="1.0" encoding="utf-8"?>
<calcChain xmlns="http://schemas.openxmlformats.org/spreadsheetml/2006/main">
  <c r="E28" i="7" l="1"/>
  <c r="C9" i="8" l="1"/>
  <c r="C8" i="8"/>
  <c r="AM2" i="10"/>
  <c r="M16" i="1" l="1"/>
  <c r="M17" i="1"/>
  <c r="M18" i="1"/>
  <c r="M19" i="1"/>
  <c r="M20" i="1"/>
  <c r="M21" i="1"/>
  <c r="M22" i="1"/>
  <c r="M23" i="1"/>
  <c r="M15" i="1"/>
  <c r="M14" i="1"/>
  <c r="AC19" i="10" l="1"/>
  <c r="AB19" i="10"/>
  <c r="AN6" i="10" l="1"/>
  <c r="AM6" i="10"/>
  <c r="AN5" i="10"/>
  <c r="AM5" i="10"/>
  <c r="AN4" i="10"/>
  <c r="AM4" i="10"/>
  <c r="AN3" i="10"/>
  <c r="AM3" i="10"/>
  <c r="AN2" i="10"/>
  <c r="L24" i="1"/>
  <c r="K24" i="1"/>
  <c r="J24" i="1"/>
  <c r="I24" i="1"/>
  <c r="H24" i="1"/>
  <c r="G24" i="1"/>
  <c r="F24" i="1"/>
  <c r="AP8" i="1"/>
  <c r="AO8" i="1"/>
  <c r="AO9" i="1" l="1"/>
  <c r="AQ9" i="1" s="1"/>
  <c r="AQ8" i="1"/>
  <c r="AP7" i="1"/>
  <c r="AR7" i="1" s="1"/>
  <c r="AR8" i="1"/>
  <c r="M24" i="1"/>
  <c r="AO7" i="1"/>
  <c r="AQ7" i="1" s="1"/>
  <c r="AP9" i="1"/>
  <c r="AR9" i="1" s="1"/>
  <c r="AO10" i="1" l="1"/>
  <c r="AQ10" i="1" s="1"/>
  <c r="AP6" i="1"/>
  <c r="AR6" i="1" s="1"/>
  <c r="AO6" i="1"/>
  <c r="AQ6" i="1" s="1"/>
  <c r="AP10" i="1"/>
  <c r="AR10" i="1" s="1"/>
</calcChain>
</file>

<file path=xl/sharedStrings.xml><?xml version="1.0" encoding="utf-8"?>
<sst xmlns="http://schemas.openxmlformats.org/spreadsheetml/2006/main" count="612" uniqueCount="212">
  <si>
    <t>Charter Automation Team - Offshore</t>
  </si>
  <si>
    <t>Clarity Project</t>
  </si>
  <si>
    <t>Total</t>
  </si>
  <si>
    <t>List</t>
  </si>
  <si>
    <t>LasttoLastW</t>
  </si>
  <si>
    <t>Lastweek</t>
  </si>
  <si>
    <t>CurrentWeek</t>
  </si>
  <si>
    <t>NextWeek</t>
  </si>
  <si>
    <t>NxttoNxtW</t>
  </si>
  <si>
    <t>Formate</t>
  </si>
  <si>
    <t>Task  Description</t>
  </si>
  <si>
    <t>Clarity ID</t>
  </si>
  <si>
    <t xml:space="preserve">Select Option : </t>
  </si>
  <si>
    <t>Gagandeep Singh</t>
  </si>
  <si>
    <t>Nishant Kumar Yadav</t>
  </si>
  <si>
    <t>Resource Name</t>
  </si>
  <si>
    <t>Week</t>
  </si>
  <si>
    <t>Date</t>
  </si>
  <si>
    <t>Task</t>
  </si>
  <si>
    <t>Location</t>
  </si>
  <si>
    <t>Hours</t>
  </si>
  <si>
    <t>Irfan Ahamad</t>
  </si>
  <si>
    <t>Rashid Mustafa</t>
  </si>
  <si>
    <t>Syed Amir Ali Naqvi</t>
  </si>
  <si>
    <t>Soumen Roy</t>
  </si>
  <si>
    <t>Rajat Goel</t>
  </si>
  <si>
    <t>Ashutosh Kumar</t>
  </si>
  <si>
    <t>Aliya Tabassum</t>
  </si>
  <si>
    <t xml:space="preserve">Status :  </t>
  </si>
  <si>
    <t xml:space="preserve">Select Time Period : </t>
  </si>
  <si>
    <t>Total Hours</t>
  </si>
  <si>
    <t>Sunday</t>
  </si>
  <si>
    <t>Monday</t>
  </si>
  <si>
    <t>Tuesday</t>
  </si>
  <si>
    <t>Wednesday</t>
  </si>
  <si>
    <t>Thursday</t>
  </si>
  <si>
    <t>Friday</t>
  </si>
  <si>
    <t>Saturday</t>
  </si>
  <si>
    <t>Ali Mahdi</t>
  </si>
  <si>
    <t>Sarsij Kumar</t>
  </si>
  <si>
    <t>Syed Mazhar Nadir</t>
  </si>
  <si>
    <t>Task Description</t>
  </si>
  <si>
    <t>Employee ID</t>
  </si>
  <si>
    <t>Navneet Singhal</t>
  </si>
  <si>
    <t>Approved</t>
  </si>
  <si>
    <t>Not Approved</t>
  </si>
  <si>
    <t>Incorrect Clarity ID / Project</t>
  </si>
  <si>
    <t>Incorrect Task Description</t>
  </si>
  <si>
    <t>Incorrect Hours</t>
  </si>
  <si>
    <t>Comment</t>
  </si>
  <si>
    <t xml:space="preserve">Submit Time Entries For : </t>
  </si>
  <si>
    <t xml:space="preserve">Review Time Entries For : </t>
  </si>
  <si>
    <t>Review Time Entry</t>
  </si>
  <si>
    <t>Submit Time Entry</t>
  </si>
  <si>
    <t xml:space="preserve">Capacity Planning </t>
  </si>
  <si>
    <t>Time Entries Status</t>
  </si>
  <si>
    <t>NBL Hours</t>
  </si>
  <si>
    <t>BL Hours</t>
  </si>
  <si>
    <t>Export Timesheet - For Charter Automation Offshore Team</t>
  </si>
  <si>
    <t xml:space="preserve">Total Hours : </t>
  </si>
  <si>
    <t>Vibhor Jain</t>
  </si>
  <si>
    <t xml:space="preserve">Select Month : </t>
  </si>
  <si>
    <t>August</t>
  </si>
  <si>
    <t xml:space="preserve">Reviewed By : </t>
  </si>
  <si>
    <t>Week - 1</t>
  </si>
  <si>
    <t>Week - 4</t>
  </si>
  <si>
    <t>Week - 2</t>
  </si>
  <si>
    <t>Week - 5</t>
  </si>
  <si>
    <t>Capacity Section</t>
  </si>
  <si>
    <t>TOTAL ACTUAL HOURS (Weekly)</t>
  </si>
  <si>
    <t>Total Hour's</t>
  </si>
  <si>
    <t xml:space="preserve">Select Option To Send : </t>
  </si>
  <si>
    <t xml:space="preserve">Send To : </t>
  </si>
  <si>
    <t>Capacity Planning</t>
  </si>
  <si>
    <t xml:space="preserve">Date Of Submission : </t>
  </si>
  <si>
    <t>Shared Database</t>
  </si>
  <si>
    <t>Billable (Y / N)</t>
  </si>
  <si>
    <t>S.No.</t>
  </si>
  <si>
    <t>Project</t>
  </si>
  <si>
    <t>Y</t>
  </si>
  <si>
    <t>Automation</t>
  </si>
  <si>
    <t>TDM - Automation</t>
  </si>
  <si>
    <t>Performance</t>
  </si>
  <si>
    <t>Send Resource List Sheet</t>
  </si>
  <si>
    <t>Send Timesheet &amp; Resource Sheet</t>
  </si>
  <si>
    <t>Source utility Folder path</t>
  </si>
  <si>
    <t>\\xtwinno1slem\Automation\Others\</t>
  </si>
  <si>
    <t>Source utltiy FileName</t>
  </si>
  <si>
    <t>Clarity Time Tracking Utility.xlsm</t>
  </si>
  <si>
    <t>Destination path</t>
  </si>
  <si>
    <t>Source database Folder path</t>
  </si>
  <si>
    <t>Source database FileName</t>
  </si>
  <si>
    <t>ClarityTracking.accdb</t>
  </si>
  <si>
    <t>June</t>
  </si>
  <si>
    <t>July</t>
  </si>
  <si>
    <t>September</t>
  </si>
  <si>
    <t>October</t>
  </si>
  <si>
    <t>November</t>
  </si>
  <si>
    <t>December</t>
  </si>
  <si>
    <t>Local Database</t>
  </si>
  <si>
    <t>Week Starts</t>
  </si>
  <si>
    <t>Week Ends</t>
  </si>
  <si>
    <t>Formate for Display</t>
  </si>
  <si>
    <t>ACTIVE</t>
  </si>
  <si>
    <t>INACTIVE</t>
  </si>
  <si>
    <t>ASSIGNED</t>
  </si>
  <si>
    <t>DEASSIGNED</t>
  </si>
  <si>
    <t>View/Update Project</t>
  </si>
  <si>
    <t>ALLOWED</t>
  </si>
  <si>
    <t>NOT ALLOWED</t>
  </si>
  <si>
    <t>Create New Project</t>
  </si>
  <si>
    <t>INACTIVE-BENCHED</t>
  </si>
  <si>
    <t>\\xtwinno1slem\Automation\Utilities Under Modification\Clarity Time Tracking Do not open\Production\</t>
  </si>
  <si>
    <t>ACTIVE-BENCHED</t>
  </si>
  <si>
    <t>Reviewed By</t>
  </si>
  <si>
    <t>View All Resource(s)</t>
  </si>
  <si>
    <t>Create/View/Update Resource(s) Details</t>
  </si>
  <si>
    <t>C:\Users\gagandeeps\Desktop\Clarity Time Tracking\</t>
  </si>
  <si>
    <t>Assign/View/Update Clarity Project Assignment</t>
  </si>
  <si>
    <t>TMO Contractor OOO - OOO (OFFSHORE)</t>
  </si>
  <si>
    <t>Performance (OFFSHORE)</t>
  </si>
  <si>
    <t>Automation (OFFSHORE)</t>
  </si>
  <si>
    <t>TMO Contractor OOO - BENCHED (OFFSHORE)</t>
  </si>
  <si>
    <t>TDM (OFFSHORE)</t>
  </si>
  <si>
    <t>ProjectAddition</t>
  </si>
  <si>
    <t>Abhishek Srivastava</t>
  </si>
  <si>
    <t xml:space="preserve">Request To :  </t>
  </si>
  <si>
    <t>Add New Project</t>
  </si>
  <si>
    <t>Clarity Project Management - Manage User Requests in System</t>
  </si>
  <si>
    <t>Deassign Active Project</t>
  </si>
  <si>
    <t>Assign Active Project</t>
  </si>
  <si>
    <t>Approve User Request(s)</t>
  </si>
  <si>
    <t xml:space="preserve">Select Criteria : </t>
  </si>
  <si>
    <t>N</t>
  </si>
  <si>
    <t>DEASSIGN</t>
  </si>
  <si>
    <t>Add New Project/Assign Active Project/Add New Task</t>
  </si>
  <si>
    <t>Cancel Request</t>
  </si>
  <si>
    <t xml:space="preserve">Select Database : </t>
  </si>
  <si>
    <t>Add New Task Desc.</t>
  </si>
  <si>
    <t>Submitted/Reviewed Time Entry View For RM</t>
  </si>
  <si>
    <t>Review Authorization</t>
  </si>
  <si>
    <t>Show Submitted Time Records</t>
  </si>
  <si>
    <t>Show Reviewed Time Records</t>
  </si>
  <si>
    <t>Show Clarity Project Management</t>
  </si>
  <si>
    <t>Show Capacity Planning</t>
  </si>
  <si>
    <t>Show Export Sheet</t>
  </si>
  <si>
    <t>Clarity Project Management - Manage User Authorization in System</t>
  </si>
  <si>
    <t xml:space="preserve">Select Resource Name : </t>
  </si>
  <si>
    <t>View/Update Task Desc.</t>
  </si>
  <si>
    <t>Create/View/Update Clarity Projects or Task Desc.</t>
  </si>
  <si>
    <t>Ayaz Hasan</t>
  </si>
  <si>
    <t>Deepika Singh</t>
  </si>
  <si>
    <t>Mohd Shafeeq</t>
  </si>
  <si>
    <t xml:space="preserve">Syed Mazhar Nadir </t>
  </si>
  <si>
    <t>January</t>
  </si>
  <si>
    <t>May</t>
  </si>
  <si>
    <t>April</t>
  </si>
  <si>
    <t>March</t>
  </si>
  <si>
    <t>February</t>
  </si>
  <si>
    <t>Create New Task Desc.</t>
  </si>
  <si>
    <t>Review User Request(s)</t>
  </si>
  <si>
    <t>Week - 3</t>
  </si>
  <si>
    <t>Jogender</t>
  </si>
  <si>
    <t>Abhishek Gola</t>
  </si>
  <si>
    <t>Mohd Wasim</t>
  </si>
  <si>
    <t>Haroon Zia</t>
  </si>
  <si>
    <t>Niharika Gupta</t>
  </si>
  <si>
    <t>Harish Kandpal</t>
  </si>
  <si>
    <t>Mohammad Shariq Ansari</t>
  </si>
  <si>
    <t>Send</t>
  </si>
  <si>
    <t>TR - Automation Test Creation</t>
  </si>
  <si>
    <t>TR - Automation Test Planning</t>
  </si>
  <si>
    <t>TR - Automation Test Execution</t>
  </si>
  <si>
    <t>Automated Test Data Cleanup</t>
  </si>
  <si>
    <t>NG R2 - XML Automation Development</t>
  </si>
  <si>
    <t>NG Releases Regression Execution</t>
  </si>
  <si>
    <t xml:space="preserve">NG R2 - XML Automation Development
</t>
  </si>
  <si>
    <t>NG Smoke Execution</t>
  </si>
  <si>
    <t>NG R3 - XML Automation Development</t>
  </si>
  <si>
    <t>TR-QA Test Data Creation/Support/Cleanup</t>
  </si>
  <si>
    <t>NG Automated Smoke Test Execution</t>
  </si>
  <si>
    <t>NG R4 - XML Automation Development</t>
  </si>
  <si>
    <t>eCommerce - Automation Development</t>
  </si>
  <si>
    <t>TMO Contractor OOO</t>
  </si>
  <si>
    <t>TMO Contractor Bench</t>
  </si>
  <si>
    <t>Shadab Hasan</t>
  </si>
  <si>
    <t>TR - Performance Testing</t>
  </si>
  <si>
    <t>TR - Test Data Creation/Support/Cleanup</t>
  </si>
  <si>
    <t>Create New Task Desc.(Performance Project)</t>
  </si>
  <si>
    <t>Clarity Project Management - Resource Details Update in System</t>
  </si>
  <si>
    <t>ESSO Performance Testing</t>
  </si>
  <si>
    <t>SDP Integration - Service Activation</t>
  </si>
  <si>
    <t>2017 - BAQARM Contractor OOO - Benched</t>
  </si>
  <si>
    <t>2017 - BAQARM Contractor OOO - OOO</t>
  </si>
  <si>
    <t>Performance Test-Get Project Details </t>
  </si>
  <si>
    <t>Performance Test-Execute Load Tests</t>
  </si>
  <si>
    <t>Performance Test-Build &amp; Publish Report</t>
  </si>
  <si>
    <t>Performance Test-Analyze Results</t>
  </si>
  <si>
    <t>Performance Test-Build Load Scripts</t>
  </si>
  <si>
    <t>Performance Test-Build Test Plan</t>
  </si>
  <si>
    <t>TR - Performance Test Execution - RTCCA SNET</t>
  </si>
  <si>
    <t>TR - Performance Test Planning - RTCCA SNET</t>
  </si>
  <si>
    <t>Performance Test Planning </t>
  </si>
  <si>
    <t>Chandan Panigrahi</t>
  </si>
  <si>
    <t>Nimish Kumar</t>
  </si>
  <si>
    <t>Double Click On This Cell To Assign New Project..</t>
  </si>
  <si>
    <t>2017 - BAQA - NextGen Core Testing Resources</t>
  </si>
  <si>
    <t>2017 - BAQARM - Automation CapEx</t>
  </si>
  <si>
    <t>2017 OSM Upgrade Testing</t>
  </si>
  <si>
    <t xml:space="preserve">IT Ordering Infrastructure &amp; Automation (UB)         </t>
  </si>
  <si>
    <t>TR - SDP UAT TDM Automation Script Update</t>
  </si>
  <si>
    <t>TR - PerformanceTest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</si>
</sst>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m/dd"/>
    <numFmt numFmtId="165" formatCode="mm/dd/yyyy"/>
    <numFmt numFmtId="166" formatCode="mm/dd/yy;@"/>
    <numFmt numFmtId="167" formatCode="0.00_);\(0.00\)"/>
    <numFmt numFmtId="168" formatCode="0;[Red]0"/>
  </numFmts>
  <fonts count="72">
    <font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Segoe UI"/>
      <family val="2"/>
    </font>
    <font>
      <sz val="10"/>
      <color theme="1"/>
      <name val="Segoe UI"/>
      <family val="2"/>
    </font>
    <font>
      <sz val="10"/>
      <name val="Arial"/>
      <family val="2"/>
    </font>
    <font>
      <sz val="10"/>
      <color theme="1"/>
      <name val="Segeo UI"/>
    </font>
    <font>
      <b/>
      <sz val="10"/>
      <color theme="1"/>
      <name val="Segeo UI"/>
    </font>
    <font>
      <b/>
      <sz val="10"/>
      <color rgb="FFFF0000"/>
      <name val="Segeo UI"/>
    </font>
    <font>
      <sz val="11"/>
      <color theme="1"/>
      <name val="Segoe UI"/>
      <family val="2"/>
    </font>
    <font>
      <b/>
      <sz val="12"/>
      <color theme="1"/>
      <name val="Segoe UI"/>
      <family val="2"/>
    </font>
    <font>
      <b/>
      <sz val="10"/>
      <color theme="1"/>
      <name val="Segoe UI"/>
      <family val="2"/>
    </font>
    <font>
      <sz val="10"/>
      <color theme="1"/>
      <name val="Segoe UI"/>
      <family val="2"/>
    </font>
    <font>
      <sz val="10"/>
      <name val="Segeo UI"/>
    </font>
    <font>
      <b/>
      <sz val="10"/>
      <color rgb="FF00B050"/>
      <name val="Segeo UI"/>
    </font>
    <font>
      <sz val="10"/>
      <name val="Segoe UI"/>
      <family val="2"/>
    </font>
    <font>
      <b/>
      <sz val="11"/>
      <color theme="0" tint="-4.9989318521683403E-2"/>
      <name val="Segoe UI"/>
      <family val="2"/>
    </font>
    <font>
      <b/>
      <sz val="10"/>
      <color theme="0"/>
      <name val="Segoe UI"/>
      <family val="2"/>
    </font>
    <font>
      <b/>
      <sz val="10"/>
      <color theme="0"/>
      <name val="Segeo UI"/>
    </font>
    <font>
      <sz val="10"/>
      <color theme="0"/>
      <name val="Segeo UI"/>
    </font>
    <font>
      <b/>
      <sz val="13"/>
      <color theme="0"/>
      <name val="Segeo UI"/>
    </font>
    <font>
      <b/>
      <sz val="16"/>
      <color theme="0"/>
      <name val="Segeo UI"/>
    </font>
    <font>
      <b/>
      <sz val="12"/>
      <color theme="0"/>
      <name val="Segoe UI"/>
      <family val="2"/>
    </font>
    <font>
      <b/>
      <sz val="15"/>
      <color theme="0"/>
      <name val="Segoe UI"/>
      <family val="2"/>
    </font>
    <font>
      <b/>
      <sz val="11"/>
      <color theme="0"/>
      <name val="Segoe UI"/>
      <family val="2"/>
    </font>
    <font>
      <b/>
      <sz val="9"/>
      <color theme="0"/>
      <name val="Segoe UI"/>
      <family val="2"/>
    </font>
    <font>
      <b/>
      <sz val="10"/>
      <color rgb="FFFF0000"/>
      <name val="Segoe UI"/>
      <family val="2"/>
    </font>
    <font>
      <b/>
      <sz val="9"/>
      <color theme="0"/>
      <name val="Segeo UI"/>
    </font>
    <font>
      <sz val="10"/>
      <color theme="0"/>
      <name val="Segoe UI"/>
      <family val="2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0"/>
      <name val="Segoe UI"/>
      <family val="2"/>
    </font>
    <font>
      <sz val="11"/>
      <color rgb="FF3F4549"/>
      <name val="Georgia"/>
      <family val="1"/>
    </font>
    <font>
      <sz val="10"/>
      <color rgb="FF333333"/>
      <name val="Verdana"/>
      <family val="2"/>
    </font>
    <font>
      <b/>
      <sz val="12"/>
      <color rgb="FF232629"/>
      <name val="Arial"/>
      <family val="2"/>
    </font>
    <font>
      <sz val="10"/>
      <color rgb="FF0000FF"/>
      <name val="Segoe UI"/>
      <family val="2"/>
    </font>
    <font>
      <sz val="10"/>
      <color rgb="FF0000FF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0"/>
      <name val="Segoe UI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Segoe UI"/>
      <family val="2"/>
    </font>
    <font>
      <b/>
      <sz val="11"/>
      <color rgb="FFDAEEF3"/>
      <name val="Segoe UI"/>
      <family val="2"/>
    </font>
    <font>
      <b/>
      <sz val="12"/>
      <color rgb="FFDAEEF3"/>
      <name val="Segoe UI"/>
      <family val="2"/>
    </font>
    <font>
      <sz val="10"/>
      <color theme="5" tint="0.39997558519241921"/>
      <name val="Segeo UI"/>
    </font>
    <font>
      <sz val="10"/>
      <color theme="5" tint="0.59999389629810485"/>
      <name val="Segeo UI"/>
    </font>
    <font>
      <sz val="10"/>
      <color theme="0" tint="-0.14999847407452621"/>
      <name val="Segeo UI"/>
    </font>
    <font>
      <b/>
      <sz val="10"/>
      <color rgb="FFFFFFFF"/>
      <name val="Segoe UI"/>
      <family val="2"/>
    </font>
    <font>
      <sz val="10"/>
      <color rgb="FFDAEEF3"/>
      <name val="Segoe UI"/>
      <family val="2"/>
    </font>
    <font>
      <b/>
      <sz val="11"/>
      <color rgb="FFFFFFFF"/>
      <name val="Segoe UI"/>
      <family val="2"/>
    </font>
    <font>
      <sz val="11"/>
      <color theme="0"/>
      <name val="Calibri"/>
      <family val="2"/>
    </font>
    <font>
      <b/>
      <sz val="20"/>
      <color theme="0"/>
      <name val="Segoe UI"/>
      <family val="2"/>
    </font>
    <font>
      <sz val="11"/>
      <color rgb="FF006600"/>
      <name val="Calibri"/>
      <family val="2"/>
      <scheme val="minor"/>
    </font>
    <font>
      <sz val="10"/>
      <color rgb="FFFF0000"/>
      <name val="Segeo UI"/>
    </font>
    <font>
      <sz val="11"/>
      <color theme="8" tint="0.79998168889431442"/>
      <name val="Calibri"/>
      <family val="2"/>
      <scheme val="minor"/>
    </font>
    <font>
      <sz val="10"/>
      <color theme="2" tint="-9.9978637043366805E-2"/>
      <name val="Segoe UI"/>
      <family val="2"/>
    </font>
    <font>
      <b/>
      <sz val="10"/>
      <color theme="2" tint="-9.9978637043366805E-2"/>
      <name val="Segoe UI"/>
      <family val="2"/>
    </font>
    <font>
      <b/>
      <sz val="11"/>
      <color theme="2" tint="-9.9978637043366805E-2"/>
      <name val="Calibri"/>
      <family val="2"/>
      <scheme val="minor"/>
    </font>
    <font>
      <sz val="11"/>
      <color theme="2" tint="-9.9978637043366805E-2"/>
      <name val="Calibri"/>
      <family val="2"/>
      <scheme val="minor"/>
    </font>
    <font>
      <sz val="11"/>
      <color theme="2" tint="-9.9978637043366805E-2"/>
      <name val="Segoe UI"/>
      <family val="2"/>
    </font>
    <font>
      <b/>
      <sz val="11"/>
      <color theme="2" tint="-9.9978637043366805E-2"/>
      <name val="Segoe UI"/>
      <family val="2"/>
    </font>
    <font>
      <b/>
      <sz val="12"/>
      <color theme="2" tint="-9.9978637043366805E-2"/>
      <name val="Segoe UI"/>
      <family val="2"/>
    </font>
    <font>
      <sz val="10"/>
      <color rgb="FF000000"/>
      <name val="Arial"/>
      <family val="2"/>
    </font>
    <font>
      <sz val="11"/>
      <name val="Segoe UI"/>
      <family val="2"/>
    </font>
    <font>
      <sz val="11"/>
      <color rgb="FFFF0000"/>
      <name val="Calibri"/>
      <family val="2"/>
      <scheme val="minor"/>
    </font>
    <font>
      <b/>
      <sz val="10"/>
      <color rgb="FF000000"/>
      <name val="Segoe UI"/>
      <family val="2"/>
    </font>
    <font>
      <sz val="10"/>
      <color rgb="FF000000"/>
      <name val="Calibri"/>
      <family val="2"/>
      <scheme val="minor"/>
    </font>
    <font>
      <i/>
      <sz val="8"/>
      <color rgb="FFFF0000"/>
      <name val="Segou UI"/>
    </font>
  </fonts>
  <fills count="26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0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DDD9C4"/>
        <bgColor indexed="64"/>
      </patternFill>
    </fill>
    <fill>
      <patternFill patternType="solid">
        <fgColor rgb="FF948A54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DDD9C4"/>
      </left>
      <right style="thin">
        <color rgb="FFDDD9C4"/>
      </right>
      <top style="thin">
        <color rgb="FFDDD9C4"/>
      </top>
      <bottom style="thin">
        <color rgb="FFDDD9C4"/>
      </bottom>
      <diagonal/>
    </border>
    <border>
      <left style="medium">
        <color indexed="64"/>
      </left>
      <right style="medium">
        <color theme="2" tint="-9.9978637043366805E-2"/>
      </right>
      <top style="medium">
        <color theme="2" tint="-9.9978637043366805E-2"/>
      </top>
      <bottom style="medium">
        <color theme="2" tint="-9.9978637043366805E-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medium">
        <color rgb="FFDDD9C4"/>
      </left>
      <right style="medium">
        <color rgb="FFDDD9C4"/>
      </right>
      <top style="medium">
        <color rgb="FFDDD9C4"/>
      </top>
      <bottom style="medium">
        <color rgb="FFDDD9C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5">
    <xf numFmtId="0" fontId="0" fillId="0" borderId="0"/>
    <xf numFmtId="0" fontId="8" fillId="0" borderId="0"/>
    <xf numFmtId="0" fontId="7" fillId="0" borderId="0"/>
    <xf numFmtId="0" fontId="41" fillId="0" borderId="0"/>
    <xf numFmtId="0" fontId="41" fillId="0" borderId="0"/>
  </cellStyleXfs>
  <cellXfs count="434">
    <xf numFmtId="0" fontId="0" fillId="0" borderId="0" xfId="0"/>
    <xf numFmtId="0" fontId="12" fillId="0" borderId="0" xfId="0" applyFont="1" applyFill="1"/>
    <xf numFmtId="0" fontId="15" fillId="0" borderId="0" xfId="0" applyFont="1" applyFill="1"/>
    <xf numFmtId="0" fontId="18" fillId="0" borderId="0" xfId="1" applyFont="1" applyFill="1" applyBorder="1"/>
    <xf numFmtId="0" fontId="9" fillId="0" borderId="0" xfId="0" applyFont="1" applyProtection="1"/>
    <xf numFmtId="0" fontId="16" fillId="2" borderId="13" xfId="0" applyFont="1" applyFill="1" applyBorder="1" applyProtection="1"/>
    <xf numFmtId="14" fontId="16" fillId="2" borderId="13" xfId="0" applyNumberFormat="1" applyFont="1" applyFill="1" applyBorder="1" applyProtection="1"/>
    <xf numFmtId="14" fontId="16" fillId="2" borderId="13" xfId="0" applyNumberFormat="1" applyFont="1" applyFill="1" applyBorder="1" applyAlignment="1" applyProtection="1">
      <alignment horizontal="left"/>
    </xf>
    <xf numFmtId="14" fontId="16" fillId="2" borderId="13" xfId="0" applyNumberFormat="1" applyFont="1" applyFill="1" applyBorder="1" applyAlignment="1" applyProtection="1">
      <alignment horizontal="center"/>
    </xf>
    <xf numFmtId="0" fontId="9" fillId="2" borderId="13" xfId="0" applyFont="1" applyFill="1" applyBorder="1" applyProtection="1"/>
    <xf numFmtId="14" fontId="9" fillId="2" borderId="13" xfId="0" applyNumberFormat="1" applyFont="1" applyFill="1" applyBorder="1" applyAlignment="1" applyProtection="1">
      <alignment horizontal="left"/>
    </xf>
    <xf numFmtId="164" fontId="9" fillId="0" borderId="0" xfId="0" applyNumberFormat="1" applyFont="1" applyProtection="1"/>
    <xf numFmtId="14" fontId="9" fillId="0" borderId="0" xfId="0" applyNumberFormat="1" applyFont="1" applyProtection="1"/>
    <xf numFmtId="0" fontId="9" fillId="3" borderId="23" xfId="0" applyNumberFormat="1" applyFont="1" applyFill="1" applyBorder="1" applyAlignment="1" applyProtection="1">
      <alignment horizontal="center" vertical="center"/>
    </xf>
    <xf numFmtId="0" fontId="7" fillId="0" borderId="0" xfId="2"/>
    <xf numFmtId="0" fontId="29" fillId="7" borderId="13" xfId="0" applyFont="1" applyFill="1" applyBorder="1" applyAlignment="1">
      <alignment vertical="center"/>
    </xf>
    <xf numFmtId="0" fontId="31" fillId="10" borderId="13" xfId="0" applyFont="1" applyFill="1" applyBorder="1"/>
    <xf numFmtId="0" fontId="0" fillId="0" borderId="0" xfId="0" applyBorder="1"/>
    <xf numFmtId="0" fontId="18" fillId="11" borderId="13" xfId="0" applyFont="1" applyFill="1" applyBorder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center"/>
    </xf>
    <xf numFmtId="0" fontId="0" fillId="0" borderId="19" xfId="0" applyNumberFormat="1" applyBorder="1" applyAlignment="1">
      <alignment horizontal="center" vertical="center"/>
    </xf>
    <xf numFmtId="0" fontId="0" fillId="0" borderId="20" xfId="0" applyNumberFormat="1" applyBorder="1" applyAlignment="1">
      <alignment horizontal="center" vertical="center"/>
    </xf>
    <xf numFmtId="0" fontId="0" fillId="0" borderId="22" xfId="0" applyNumberFormat="1" applyBorder="1" applyAlignment="1">
      <alignment horizontal="center" vertical="center"/>
    </xf>
    <xf numFmtId="0" fontId="0" fillId="0" borderId="26" xfId="0" applyNumberFormat="1" applyBorder="1" applyAlignment="1">
      <alignment horizontal="center" vertical="center"/>
    </xf>
    <xf numFmtId="0" fontId="0" fillId="3" borderId="22" xfId="0" applyNumberFormat="1" applyFill="1" applyBorder="1" applyAlignment="1">
      <alignment horizontal="center" vertical="center"/>
    </xf>
    <xf numFmtId="0" fontId="0" fillId="3" borderId="26" xfId="0" applyNumberForma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/>
    </xf>
    <xf numFmtId="14" fontId="0" fillId="0" borderId="19" xfId="0" applyNumberFormat="1" applyBorder="1" applyAlignment="1">
      <alignment horizontal="left" vertical="center"/>
    </xf>
    <xf numFmtId="0" fontId="35" fillId="0" borderId="0" xfId="0" applyFont="1"/>
    <xf numFmtId="14" fontId="37" fillId="0" borderId="0" xfId="0" applyNumberFormat="1" applyFont="1"/>
    <xf numFmtId="0" fontId="0" fillId="0" borderId="0" xfId="0" applyAlignment="1">
      <alignment horizontal="center"/>
    </xf>
    <xf numFmtId="167" fontId="12" fillId="0" borderId="0" xfId="0" applyNumberFormat="1" applyFont="1" applyFill="1" applyAlignment="1">
      <alignment horizontal="center" vertical="center"/>
    </xf>
    <xf numFmtId="0" fontId="12" fillId="0" borderId="0" xfId="0" applyFont="1" applyFill="1" applyAlignment="1">
      <alignment horizontal="center"/>
    </xf>
    <xf numFmtId="2" fontId="14" fillId="9" borderId="7" xfId="0" applyNumberFormat="1" applyFont="1" applyFill="1" applyBorder="1" applyAlignment="1">
      <alignment horizontal="center" vertical="center"/>
    </xf>
    <xf numFmtId="2" fontId="14" fillId="4" borderId="9" xfId="0" applyNumberFormat="1" applyFont="1" applyFill="1" applyBorder="1" applyAlignment="1">
      <alignment horizontal="center" vertical="center"/>
    </xf>
    <xf numFmtId="2" fontId="14" fillId="13" borderId="18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0" fillId="0" borderId="13" xfId="3" applyFont="1" applyFill="1" applyBorder="1" applyAlignment="1">
      <alignment wrapText="1"/>
    </xf>
    <xf numFmtId="0" fontId="40" fillId="0" borderId="13" xfId="3" applyFont="1" applyFill="1" applyBorder="1" applyAlignment="1">
      <alignment horizontal="center" vertical="center" wrapText="1"/>
    </xf>
    <xf numFmtId="0" fontId="40" fillId="0" borderId="13" xfId="3" applyFont="1" applyFill="1" applyBorder="1" applyAlignment="1">
      <alignment horizontal="left" wrapText="1"/>
    </xf>
    <xf numFmtId="0" fontId="0" fillId="0" borderId="13" xfId="0" applyBorder="1" applyAlignment="1">
      <alignment horizontal="center" vertical="center"/>
    </xf>
    <xf numFmtId="0" fontId="3" fillId="12" borderId="13" xfId="0" applyFont="1" applyFill="1" applyBorder="1"/>
    <xf numFmtId="0" fontId="0" fillId="3" borderId="21" xfId="0" applyNumberFormat="1" applyFill="1" applyBorder="1" applyAlignment="1">
      <alignment horizontal="center" vertical="center"/>
    </xf>
    <xf numFmtId="0" fontId="9" fillId="8" borderId="13" xfId="0" applyFont="1" applyFill="1" applyBorder="1" applyProtection="1"/>
    <xf numFmtId="14" fontId="16" fillId="2" borderId="27" xfId="0" applyNumberFormat="1" applyFont="1" applyFill="1" applyBorder="1" applyProtection="1"/>
    <xf numFmtId="0" fontId="14" fillId="7" borderId="13" xfId="0" applyFont="1" applyFill="1" applyBorder="1" applyAlignment="1">
      <alignment horizontal="left"/>
    </xf>
    <xf numFmtId="0" fontId="9" fillId="7" borderId="30" xfId="0" applyFont="1" applyFill="1" applyBorder="1" applyProtection="1"/>
    <xf numFmtId="0" fontId="0" fillId="3" borderId="23" xfId="0" applyNumberFormat="1" applyFill="1" applyBorder="1" applyAlignment="1">
      <alignment horizontal="center" vertical="center"/>
    </xf>
    <xf numFmtId="0" fontId="9" fillId="13" borderId="13" xfId="0" applyFont="1" applyFill="1" applyBorder="1" applyProtection="1"/>
    <xf numFmtId="0" fontId="9" fillId="15" borderId="13" xfId="0" applyFont="1" applyFill="1" applyBorder="1" applyProtection="1"/>
    <xf numFmtId="0" fontId="9" fillId="16" borderId="13" xfId="0" applyFont="1" applyFill="1" applyBorder="1" applyProtection="1"/>
    <xf numFmtId="0" fontId="9" fillId="6" borderId="13" xfId="0" applyFont="1" applyFill="1" applyBorder="1" applyProtection="1"/>
    <xf numFmtId="0" fontId="9" fillId="16" borderId="33" xfId="0" applyFont="1" applyFill="1" applyBorder="1" applyProtection="1"/>
    <xf numFmtId="0" fontId="9" fillId="17" borderId="13" xfId="0" applyFont="1" applyFill="1" applyBorder="1" applyProtection="1"/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43" fillId="14" borderId="13" xfId="0" applyFont="1" applyFill="1" applyBorder="1"/>
    <xf numFmtId="0" fontId="43" fillId="14" borderId="31" xfId="0" applyFont="1" applyFill="1" applyBorder="1"/>
    <xf numFmtId="166" fontId="43" fillId="14" borderId="13" xfId="0" applyNumberFormat="1" applyFont="1" applyFill="1" applyBorder="1"/>
    <xf numFmtId="0" fontId="43" fillId="14" borderId="13" xfId="0" applyFont="1" applyFill="1" applyBorder="1" applyAlignment="1">
      <alignment horizontal="center"/>
    </xf>
    <xf numFmtId="0" fontId="44" fillId="0" borderId="0" xfId="0" applyFont="1"/>
    <xf numFmtId="0" fontId="45" fillId="0" borderId="0" xfId="0" applyNumberFormat="1" applyFont="1" applyFill="1"/>
    <xf numFmtId="0" fontId="40" fillId="0" borderId="0" xfId="3" applyFont="1" applyFill="1" applyBorder="1" applyAlignment="1">
      <alignment wrapText="1"/>
    </xf>
    <xf numFmtId="2" fontId="22" fillId="3" borderId="24" xfId="0" applyNumberFormat="1" applyFont="1" applyFill="1" applyBorder="1" applyAlignment="1" applyProtection="1">
      <alignment horizontal="center" vertical="center"/>
    </xf>
    <xf numFmtId="2" fontId="22" fillId="3" borderId="25" xfId="0" applyNumberFormat="1" applyFont="1" applyFill="1" applyBorder="1" applyAlignment="1" applyProtection="1">
      <alignment horizontal="center" vertical="center"/>
    </xf>
    <xf numFmtId="2" fontId="22" fillId="3" borderId="12" xfId="0" applyNumberFormat="1" applyFont="1" applyFill="1" applyBorder="1" applyAlignment="1" applyProtection="1">
      <alignment horizontal="center" vertical="center"/>
    </xf>
    <xf numFmtId="2" fontId="22" fillId="3" borderId="11" xfId="0" applyNumberFormat="1" applyFont="1" applyFill="1" applyBorder="1" applyAlignment="1" applyProtection="1">
      <alignment horizontal="center" vertical="center"/>
    </xf>
    <xf numFmtId="2" fontId="22" fillId="3" borderId="1" xfId="0" applyNumberFormat="1" applyFont="1" applyFill="1" applyBorder="1" applyAlignment="1" applyProtection="1">
      <alignment horizontal="center" vertical="center"/>
    </xf>
    <xf numFmtId="2" fontId="49" fillId="4" borderId="23" xfId="0" applyNumberFormat="1" applyFont="1" applyFill="1" applyBorder="1" applyAlignment="1" applyProtection="1">
      <alignment horizontal="center" vertical="center"/>
    </xf>
    <xf numFmtId="2" fontId="49" fillId="4" borderId="19" xfId="0" applyNumberFormat="1" applyFont="1" applyFill="1" applyBorder="1" applyAlignment="1" applyProtection="1">
      <alignment horizontal="center" vertical="center"/>
    </xf>
    <xf numFmtId="2" fontId="48" fillId="5" borderId="19" xfId="0" applyNumberFormat="1" applyFont="1" applyFill="1" applyBorder="1" applyAlignment="1" applyProtection="1">
      <alignment horizontal="center" vertical="center"/>
    </xf>
    <xf numFmtId="2" fontId="48" fillId="5" borderId="16" xfId="0" applyNumberFormat="1" applyFont="1" applyFill="1" applyBorder="1" applyAlignment="1" applyProtection="1">
      <alignment horizontal="center" vertical="center"/>
    </xf>
    <xf numFmtId="2" fontId="22" fillId="3" borderId="21" xfId="0" applyNumberFormat="1" applyFont="1" applyFill="1" applyBorder="1" applyAlignment="1" applyProtection="1">
      <alignment horizontal="center" vertical="center"/>
    </xf>
    <xf numFmtId="2" fontId="22" fillId="3" borderId="23" xfId="0" applyNumberFormat="1" applyFont="1" applyFill="1" applyBorder="1" applyAlignment="1" applyProtection="1">
      <alignment horizontal="center" vertical="center"/>
    </xf>
    <xf numFmtId="2" fontId="22" fillId="3" borderId="20" xfId="0" applyNumberFormat="1" applyFont="1" applyFill="1" applyBorder="1" applyAlignment="1" applyProtection="1">
      <alignment horizontal="center" vertical="center"/>
    </xf>
    <xf numFmtId="2" fontId="22" fillId="3" borderId="19" xfId="0" applyNumberFormat="1" applyFont="1" applyFill="1" applyBorder="1" applyAlignment="1" applyProtection="1">
      <alignment horizontal="center" vertical="center"/>
    </xf>
    <xf numFmtId="0" fontId="40" fillId="18" borderId="34" xfId="4" applyFont="1" applyFill="1" applyBorder="1" applyAlignment="1">
      <alignment horizontal="left" vertical="center"/>
    </xf>
    <xf numFmtId="0" fontId="9" fillId="4" borderId="13" xfId="0" applyFont="1" applyFill="1" applyBorder="1" applyProtection="1"/>
    <xf numFmtId="0" fontId="54" fillId="19" borderId="35" xfId="4" applyFont="1" applyFill="1" applyBorder="1" applyAlignment="1">
      <alignment wrapText="1"/>
    </xf>
    <xf numFmtId="0" fontId="57" fillId="19" borderId="13" xfId="0" applyFont="1" applyFill="1" applyBorder="1" applyProtection="1"/>
    <xf numFmtId="0" fontId="9" fillId="13" borderId="30" xfId="0" applyFont="1" applyFill="1" applyBorder="1" applyProtection="1"/>
    <xf numFmtId="0" fontId="9" fillId="6" borderId="30" xfId="0" applyFont="1" applyFill="1" applyBorder="1" applyProtection="1"/>
    <xf numFmtId="0" fontId="21" fillId="21" borderId="1" xfId="0" applyFont="1" applyFill="1" applyBorder="1" applyAlignment="1" applyProtection="1">
      <alignment horizontal="center" vertical="center"/>
    </xf>
    <xf numFmtId="14" fontId="30" fillId="21" borderId="1" xfId="0" applyNumberFormat="1" applyFont="1" applyFill="1" applyBorder="1" applyAlignment="1" applyProtection="1">
      <alignment horizontal="center" vertical="center"/>
    </xf>
    <xf numFmtId="14" fontId="30" fillId="21" borderId="17" xfId="0" applyNumberFormat="1" applyFont="1" applyFill="1" applyBorder="1" applyAlignment="1" applyProtection="1">
      <alignment horizontal="center" vertical="center"/>
    </xf>
    <xf numFmtId="0" fontId="30" fillId="21" borderId="1" xfId="0" applyFont="1" applyFill="1" applyBorder="1" applyAlignment="1" applyProtection="1">
      <alignment horizontal="center" vertical="center"/>
    </xf>
    <xf numFmtId="0" fontId="30" fillId="21" borderId="17" xfId="0" applyFont="1" applyFill="1" applyBorder="1" applyAlignment="1" applyProtection="1">
      <alignment horizontal="center" vertical="center"/>
    </xf>
    <xf numFmtId="164" fontId="30" fillId="21" borderId="18" xfId="0" applyNumberFormat="1" applyFont="1" applyFill="1" applyBorder="1" applyAlignment="1" applyProtection="1">
      <alignment horizontal="center" vertical="center"/>
    </xf>
    <xf numFmtId="164" fontId="30" fillId="21" borderId="1" xfId="0" applyNumberFormat="1" applyFont="1" applyFill="1" applyBorder="1" applyAlignment="1" applyProtection="1">
      <alignment horizontal="center" vertical="center"/>
    </xf>
    <xf numFmtId="0" fontId="9" fillId="21" borderId="5" xfId="0" applyFont="1" applyFill="1" applyBorder="1" applyProtection="1"/>
    <xf numFmtId="0" fontId="9" fillId="21" borderId="7" xfId="0" applyFont="1" applyFill="1" applyBorder="1" applyProtection="1"/>
    <xf numFmtId="0" fontId="9" fillId="21" borderId="8" xfId="0" applyFont="1" applyFill="1" applyBorder="1" applyProtection="1"/>
    <xf numFmtId="0" fontId="22" fillId="21" borderId="8" xfId="0" applyFont="1" applyFill="1" applyBorder="1" applyProtection="1"/>
    <xf numFmtId="0" fontId="9" fillId="21" borderId="9" xfId="0" applyFont="1" applyFill="1" applyBorder="1" applyProtection="1"/>
    <xf numFmtId="0" fontId="9" fillId="21" borderId="6" xfId="0" applyFont="1" applyFill="1" applyBorder="1" applyProtection="1"/>
    <xf numFmtId="164" fontId="9" fillId="21" borderId="6" xfId="0" applyNumberFormat="1" applyFont="1" applyFill="1" applyBorder="1" applyProtection="1"/>
    <xf numFmtId="14" fontId="9" fillId="20" borderId="2" xfId="0" applyNumberFormat="1" applyFont="1" applyFill="1" applyBorder="1" applyProtection="1"/>
    <xf numFmtId="0" fontId="9" fillId="20" borderId="3" xfId="0" applyFont="1" applyFill="1" applyBorder="1" applyProtection="1"/>
    <xf numFmtId="14" fontId="9" fillId="20" borderId="5" xfId="0" applyNumberFormat="1" applyFont="1" applyFill="1" applyBorder="1" applyProtection="1"/>
    <xf numFmtId="0" fontId="9" fillId="20" borderId="0" xfId="0" applyFont="1" applyFill="1" applyBorder="1" applyProtection="1"/>
    <xf numFmtId="0" fontId="10" fillId="20" borderId="0" xfId="0" applyFont="1" applyFill="1" applyBorder="1" applyAlignment="1" applyProtection="1"/>
    <xf numFmtId="0" fontId="10" fillId="20" borderId="5" xfId="0" applyFont="1" applyFill="1" applyBorder="1" applyAlignment="1" applyProtection="1">
      <alignment horizontal="right"/>
    </xf>
    <xf numFmtId="14" fontId="10" fillId="20" borderId="0" xfId="0" applyNumberFormat="1" applyFont="1" applyFill="1" applyBorder="1" applyAlignment="1" applyProtection="1"/>
    <xf numFmtId="14" fontId="10" fillId="20" borderId="0" xfId="0" applyNumberFormat="1" applyFont="1" applyFill="1" applyBorder="1" applyAlignment="1" applyProtection="1">
      <alignment horizontal="right" vertical="center"/>
    </xf>
    <xf numFmtId="14" fontId="9" fillId="20" borderId="0" xfId="0" applyNumberFormat="1" applyFont="1" applyFill="1" applyBorder="1" applyProtection="1"/>
    <xf numFmtId="0" fontId="9" fillId="20" borderId="6" xfId="0" applyFont="1" applyFill="1" applyBorder="1" applyProtection="1"/>
    <xf numFmtId="14" fontId="10" fillId="20" borderId="0" xfId="0" applyNumberFormat="1" applyFont="1" applyFill="1" applyBorder="1" applyAlignment="1" applyProtection="1">
      <alignment horizontal="right"/>
    </xf>
    <xf numFmtId="0" fontId="9" fillId="20" borderId="4" xfId="0" applyFont="1" applyFill="1" applyBorder="1" applyProtection="1"/>
    <xf numFmtId="0" fontId="9" fillId="20" borderId="0" xfId="0" applyFont="1" applyFill="1" applyProtection="1"/>
    <xf numFmtId="14" fontId="9" fillId="20" borderId="0" xfId="0" applyNumberFormat="1" applyFont="1" applyFill="1" applyBorder="1" applyAlignment="1" applyProtection="1">
      <alignment horizontal="center"/>
    </xf>
    <xf numFmtId="165" fontId="9" fillId="20" borderId="0" xfId="0" applyNumberFormat="1" applyFont="1" applyFill="1" applyBorder="1" applyProtection="1"/>
    <xf numFmtId="0" fontId="10" fillId="20" borderId="0" xfId="0" applyFont="1" applyFill="1" applyBorder="1" applyAlignment="1" applyProtection="1">
      <alignment horizontal="right"/>
    </xf>
    <xf numFmtId="0" fontId="10" fillId="20" borderId="0" xfId="0" applyFont="1" applyFill="1" applyBorder="1" applyAlignment="1" applyProtection="1">
      <alignment horizontal="right" vertical="center"/>
    </xf>
    <xf numFmtId="14" fontId="11" fillId="20" borderId="0" xfId="0" applyNumberFormat="1" applyFont="1" applyFill="1" applyBorder="1" applyAlignment="1" applyProtection="1">
      <alignment horizontal="left"/>
    </xf>
    <xf numFmtId="14" fontId="17" fillId="20" borderId="0" xfId="0" applyNumberFormat="1" applyFont="1" applyFill="1" applyBorder="1" applyAlignment="1" applyProtection="1">
      <alignment horizontal="left"/>
    </xf>
    <xf numFmtId="0" fontId="17" fillId="20" borderId="0" xfId="0" applyFont="1" applyFill="1" applyBorder="1" applyAlignment="1" applyProtection="1">
      <alignment horizontal="left"/>
    </xf>
    <xf numFmtId="0" fontId="10" fillId="20" borderId="0" xfId="0" applyFont="1" applyFill="1" applyBorder="1" applyProtection="1"/>
    <xf numFmtId="0" fontId="9" fillId="20" borderId="0" xfId="0" applyFont="1" applyFill="1" applyBorder="1" applyAlignment="1" applyProtection="1">
      <alignment horizontal="center"/>
    </xf>
    <xf numFmtId="14" fontId="10" fillId="20" borderId="0" xfId="0" applyNumberFormat="1" applyFont="1" applyFill="1" applyBorder="1" applyAlignment="1" applyProtection="1">
      <alignment horizontal="center"/>
    </xf>
    <xf numFmtId="14" fontId="11" fillId="20" borderId="0" xfId="0" applyNumberFormat="1" applyFont="1" applyFill="1" applyBorder="1" applyAlignment="1" applyProtection="1">
      <alignment horizontal="left" vertical="center"/>
    </xf>
    <xf numFmtId="0" fontId="9" fillId="20" borderId="5" xfId="0" applyFont="1" applyFill="1" applyBorder="1" applyProtection="1"/>
    <xf numFmtId="0" fontId="9" fillId="20" borderId="7" xfId="0" applyFont="1" applyFill="1" applyBorder="1" applyProtection="1"/>
    <xf numFmtId="0" fontId="9" fillId="20" borderId="0" xfId="0" applyNumberFormat="1" applyFont="1" applyFill="1" applyBorder="1" applyProtection="1"/>
    <xf numFmtId="0" fontId="9" fillId="20" borderId="8" xfId="0" applyFont="1" applyFill="1" applyBorder="1" applyProtection="1"/>
    <xf numFmtId="0" fontId="9" fillId="20" borderId="8" xfId="0" applyNumberFormat="1" applyFont="1" applyFill="1" applyBorder="1" applyProtection="1"/>
    <xf numFmtId="0" fontId="9" fillId="20" borderId="9" xfId="0" applyFont="1" applyFill="1" applyBorder="1" applyProtection="1"/>
    <xf numFmtId="164" fontId="9" fillId="20" borderId="6" xfId="0" applyNumberFormat="1" applyFont="1" applyFill="1" applyBorder="1" applyProtection="1"/>
    <xf numFmtId="0" fontId="9" fillId="20" borderId="23" xfId="0" applyNumberFormat="1" applyFont="1" applyFill="1" applyBorder="1" applyAlignment="1" applyProtection="1">
      <alignment horizontal="center" vertical="center"/>
    </xf>
    <xf numFmtId="2" fontId="50" fillId="20" borderId="20" xfId="0" applyNumberFormat="1" applyFont="1" applyFill="1" applyBorder="1" applyAlignment="1" applyProtection="1">
      <alignment horizontal="center" vertical="center"/>
    </xf>
    <xf numFmtId="2" fontId="50" fillId="20" borderId="19" xfId="0" applyNumberFormat="1" applyFont="1" applyFill="1" applyBorder="1" applyAlignment="1" applyProtection="1">
      <alignment horizontal="center" vertical="center"/>
    </xf>
    <xf numFmtId="2" fontId="50" fillId="20" borderId="14" xfId="0" applyNumberFormat="1" applyFont="1" applyFill="1" applyBorder="1" applyAlignment="1" applyProtection="1">
      <alignment horizontal="center" vertical="center"/>
    </xf>
    <xf numFmtId="2" fontId="50" fillId="20" borderId="16" xfId="0" applyNumberFormat="1" applyFont="1" applyFill="1" applyBorder="1" applyAlignment="1" applyProtection="1">
      <alignment horizontal="center" vertical="center"/>
    </xf>
    <xf numFmtId="0" fontId="20" fillId="21" borderId="1" xfId="0" applyNumberFormat="1" applyFont="1" applyFill="1" applyBorder="1" applyAlignment="1">
      <alignment horizontal="center" vertical="center"/>
    </xf>
    <xf numFmtId="0" fontId="12" fillId="20" borderId="5" xfId="0" applyNumberFormat="1" applyFont="1" applyFill="1" applyBorder="1"/>
    <xf numFmtId="0" fontId="0" fillId="20" borderId="0" xfId="0" applyNumberFormat="1" applyFill="1" applyBorder="1"/>
    <xf numFmtId="0" fontId="14" fillId="20" borderId="0" xfId="0" applyNumberFormat="1" applyFont="1" applyFill="1" applyBorder="1" applyAlignment="1">
      <alignment horizontal="right"/>
    </xf>
    <xf numFmtId="0" fontId="6" fillId="20" borderId="0" xfId="0" applyNumberFormat="1" applyFont="1" applyFill="1" applyBorder="1"/>
    <xf numFmtId="0" fontId="18" fillId="20" borderId="0" xfId="1" applyNumberFormat="1" applyFont="1" applyFill="1" applyBorder="1"/>
    <xf numFmtId="0" fontId="12" fillId="20" borderId="0" xfId="0" applyNumberFormat="1" applyFont="1" applyFill="1" applyBorder="1"/>
    <xf numFmtId="0" fontId="14" fillId="20" borderId="5" xfId="0" applyNumberFormat="1" applyFont="1" applyFill="1" applyBorder="1" applyAlignment="1">
      <alignment horizontal="right" vertical="center"/>
    </xf>
    <xf numFmtId="0" fontId="6" fillId="20" borderId="5" xfId="0" applyNumberFormat="1" applyFont="1" applyFill="1" applyBorder="1"/>
    <xf numFmtId="0" fontId="12" fillId="20" borderId="0" xfId="0" applyNumberFormat="1" applyFont="1" applyFill="1" applyBorder="1" applyAlignment="1">
      <alignment horizontal="center" vertical="center"/>
    </xf>
    <xf numFmtId="0" fontId="0" fillId="20" borderId="0" xfId="0" applyNumberFormat="1" applyFill="1"/>
    <xf numFmtId="0" fontId="42" fillId="20" borderId="0" xfId="1" applyNumberFormat="1" applyFont="1" applyFill="1" applyBorder="1" applyAlignment="1">
      <alignment horizontal="left" vertical="center"/>
    </xf>
    <xf numFmtId="0" fontId="14" fillId="20" borderId="0" xfId="0" applyNumberFormat="1" applyFont="1" applyFill="1" applyAlignment="1">
      <alignment horizontal="right" vertical="center"/>
    </xf>
    <xf numFmtId="0" fontId="29" fillId="20" borderId="0" xfId="0" applyNumberFormat="1" applyFont="1" applyFill="1" applyBorder="1" applyAlignment="1">
      <alignment horizontal="left"/>
    </xf>
    <xf numFmtId="14" fontId="0" fillId="20" borderId="15" xfId="0" applyNumberFormat="1" applyFill="1" applyBorder="1" applyAlignment="1">
      <alignment horizontal="center" vertical="center"/>
    </xf>
    <xf numFmtId="0" fontId="0" fillId="20" borderId="21" xfId="0" applyNumberFormat="1" applyFill="1" applyBorder="1" applyAlignment="1">
      <alignment horizontal="center" vertical="center"/>
    </xf>
    <xf numFmtId="14" fontId="0" fillId="20" borderId="15" xfId="0" applyNumberFormat="1" applyFill="1" applyBorder="1" applyAlignment="1">
      <alignment horizontal="left" vertical="center"/>
    </xf>
    <xf numFmtId="14" fontId="0" fillId="20" borderId="19" xfId="0" applyNumberFormat="1" applyFill="1" applyBorder="1" applyAlignment="1">
      <alignment horizontal="left" vertical="center"/>
    </xf>
    <xf numFmtId="0" fontId="0" fillId="20" borderId="15" xfId="0" applyNumberFormat="1" applyFill="1" applyBorder="1" applyAlignment="1">
      <alignment horizontal="center" vertical="center"/>
    </xf>
    <xf numFmtId="14" fontId="0" fillId="20" borderId="19" xfId="0" applyNumberFormat="1" applyFill="1" applyBorder="1" applyAlignment="1">
      <alignment horizontal="center" vertical="center"/>
    </xf>
    <xf numFmtId="0" fontId="0" fillId="20" borderId="20" xfId="0" applyNumberFormat="1" applyFill="1" applyBorder="1" applyAlignment="1">
      <alignment horizontal="center" vertical="center"/>
    </xf>
    <xf numFmtId="0" fontId="0" fillId="20" borderId="19" xfId="0" applyNumberFormat="1" applyFill="1" applyBorder="1" applyAlignment="1">
      <alignment horizontal="center" vertical="center"/>
    </xf>
    <xf numFmtId="0" fontId="0" fillId="20" borderId="23" xfId="0" applyNumberFormat="1" applyFill="1" applyBorder="1" applyAlignment="1">
      <alignment horizontal="center" vertical="center"/>
    </xf>
    <xf numFmtId="14" fontId="0" fillId="20" borderId="22" xfId="0" applyNumberFormat="1" applyFill="1" applyBorder="1" applyAlignment="1">
      <alignment horizontal="left" vertical="center"/>
    </xf>
    <xf numFmtId="0" fontId="0" fillId="20" borderId="26" xfId="0" applyNumberFormat="1" applyFill="1" applyBorder="1" applyAlignment="1">
      <alignment horizontal="center" vertical="center"/>
    </xf>
    <xf numFmtId="0" fontId="0" fillId="20" borderId="22" xfId="0" applyNumberFormat="1" applyFill="1" applyBorder="1" applyAlignment="1">
      <alignment horizontal="center" vertical="center"/>
    </xf>
    <xf numFmtId="0" fontId="20" fillId="21" borderId="1" xfId="0" applyFont="1" applyFill="1" applyBorder="1" applyAlignment="1">
      <alignment horizontal="center" vertical="center"/>
    </xf>
    <xf numFmtId="167" fontId="20" fillId="21" borderId="10" xfId="0" applyNumberFormat="1" applyFont="1" applyFill="1" applyBorder="1" applyAlignment="1">
      <alignment horizontal="center" vertical="center"/>
    </xf>
    <xf numFmtId="167" fontId="20" fillId="21" borderId="1" xfId="0" applyNumberFormat="1" applyFont="1" applyFill="1" applyBorder="1" applyAlignment="1">
      <alignment horizontal="center" vertical="center"/>
    </xf>
    <xf numFmtId="167" fontId="20" fillId="21" borderId="12" xfId="0" applyNumberFormat="1" applyFont="1" applyFill="1" applyBorder="1" applyAlignment="1">
      <alignment horizontal="center" vertical="center"/>
    </xf>
    <xf numFmtId="0" fontId="12" fillId="20" borderId="5" xfId="0" applyFont="1" applyFill="1" applyBorder="1"/>
    <xf numFmtId="0" fontId="1" fillId="20" borderId="5" xfId="0" applyFont="1" applyFill="1" applyBorder="1"/>
    <xf numFmtId="0" fontId="14" fillId="20" borderId="5" xfId="0" applyFont="1" applyFill="1" applyBorder="1" applyAlignment="1">
      <alignment horizontal="right" vertical="center"/>
    </xf>
    <xf numFmtId="0" fontId="14" fillId="20" borderId="5" xfId="0" applyFont="1" applyFill="1" applyBorder="1" applyAlignment="1">
      <alignment horizontal="right"/>
    </xf>
    <xf numFmtId="0" fontId="1" fillId="20" borderId="7" xfId="0" applyFont="1" applyFill="1" applyBorder="1" applyAlignment="1">
      <alignment vertical="center"/>
    </xf>
    <xf numFmtId="0" fontId="12" fillId="20" borderId="0" xfId="0" applyFont="1" applyFill="1" applyBorder="1" applyAlignment="1">
      <alignment horizontal="center"/>
    </xf>
    <xf numFmtId="0" fontId="13" fillId="20" borderId="0" xfId="0" applyFont="1" applyFill="1" applyBorder="1" applyAlignment="1">
      <alignment horizontal="center" vertical="center"/>
    </xf>
    <xf numFmtId="0" fontId="19" fillId="20" borderId="0" xfId="0" applyFont="1" applyFill="1" applyBorder="1" applyAlignment="1">
      <alignment vertical="center"/>
    </xf>
    <xf numFmtId="0" fontId="6" fillId="20" borderId="0" xfId="0" applyFont="1" applyFill="1" applyBorder="1" applyAlignment="1">
      <alignment horizontal="center"/>
    </xf>
    <xf numFmtId="0" fontId="14" fillId="20" borderId="0" xfId="0" applyFont="1" applyFill="1" applyBorder="1" applyAlignment="1"/>
    <xf numFmtId="0" fontId="12" fillId="20" borderId="0" xfId="0" applyFont="1" applyFill="1" applyBorder="1" applyAlignment="1">
      <alignment horizontal="center" vertical="center"/>
    </xf>
    <xf numFmtId="0" fontId="6" fillId="20" borderId="0" xfId="0" applyFont="1" applyFill="1" applyBorder="1"/>
    <xf numFmtId="0" fontId="29" fillId="20" borderId="0" xfId="0" applyFont="1" applyFill="1" applyBorder="1" applyAlignment="1">
      <alignment horizontal="center"/>
    </xf>
    <xf numFmtId="0" fontId="14" fillId="20" borderId="0" xfId="0" applyFont="1" applyFill="1" applyBorder="1" applyAlignment="1">
      <alignment horizontal="right"/>
    </xf>
    <xf numFmtId="0" fontId="6" fillId="20" borderId="8" xfId="0" applyFont="1" applyFill="1" applyBorder="1" applyAlignment="1">
      <alignment horizontal="center" vertical="center"/>
    </xf>
    <xf numFmtId="0" fontId="6" fillId="20" borderId="8" xfId="0" applyFont="1" applyFill="1" applyBorder="1" applyAlignment="1">
      <alignment vertical="center"/>
    </xf>
    <xf numFmtId="167" fontId="13" fillId="20" borderId="0" xfId="0" applyNumberFormat="1" applyFont="1" applyFill="1" applyBorder="1" applyAlignment="1">
      <alignment horizontal="center" vertical="center"/>
    </xf>
    <xf numFmtId="167" fontId="12" fillId="20" borderId="0" xfId="0" applyNumberFormat="1" applyFont="1" applyFill="1" applyBorder="1" applyAlignment="1">
      <alignment horizontal="center" vertical="center"/>
    </xf>
    <xf numFmtId="167" fontId="14" fillId="20" borderId="0" xfId="0" applyNumberFormat="1" applyFont="1" applyFill="1" applyBorder="1" applyAlignment="1">
      <alignment horizontal="center" vertical="center"/>
    </xf>
    <xf numFmtId="167" fontId="6" fillId="20" borderId="0" xfId="0" applyNumberFormat="1" applyFont="1" applyFill="1" applyBorder="1" applyAlignment="1">
      <alignment horizontal="center" vertical="center"/>
    </xf>
    <xf numFmtId="167" fontId="52" fillId="20" borderId="0" xfId="0" applyNumberFormat="1" applyFont="1" applyFill="1" applyBorder="1" applyAlignment="1">
      <alignment horizontal="center" vertical="center"/>
    </xf>
    <xf numFmtId="167" fontId="6" fillId="20" borderId="0" xfId="0" applyNumberFormat="1" applyFont="1" applyFill="1" applyAlignment="1">
      <alignment horizontal="center" vertical="center"/>
    </xf>
    <xf numFmtId="0" fontId="15" fillId="20" borderId="0" xfId="0" applyFont="1" applyFill="1"/>
    <xf numFmtId="0" fontId="18" fillId="20" borderId="0" xfId="1" applyFont="1" applyFill="1" applyBorder="1"/>
    <xf numFmtId="167" fontId="18" fillId="20" borderId="0" xfId="1" applyNumberFormat="1" applyFont="1" applyFill="1" applyBorder="1" applyAlignment="1">
      <alignment horizontal="center" vertical="center"/>
    </xf>
    <xf numFmtId="0" fontId="42" fillId="20" borderId="0" xfId="1" applyFont="1" applyFill="1" applyBorder="1" applyAlignment="1">
      <alignment horizontal="center" vertical="center"/>
    </xf>
    <xf numFmtId="0" fontId="18" fillId="20" borderId="0" xfId="1" applyFont="1" applyFill="1" applyBorder="1" applyAlignment="1"/>
    <xf numFmtId="0" fontId="15" fillId="20" borderId="0" xfId="0" applyFont="1" applyFill="1" applyBorder="1"/>
    <xf numFmtId="167" fontId="6" fillId="20" borderId="8" xfId="0" applyNumberFormat="1" applyFont="1" applyFill="1" applyBorder="1" applyAlignment="1">
      <alignment horizontal="center" vertical="center"/>
    </xf>
    <xf numFmtId="167" fontId="52" fillId="20" borderId="8" xfId="0" applyNumberFormat="1" applyFont="1" applyFill="1" applyBorder="1" applyAlignment="1">
      <alignment horizontal="center" vertical="center"/>
    </xf>
    <xf numFmtId="0" fontId="4" fillId="20" borderId="5" xfId="0" applyNumberFormat="1" applyFont="1" applyFill="1" applyBorder="1" applyAlignment="1">
      <alignment horizontal="left" vertical="center"/>
    </xf>
    <xf numFmtId="0" fontId="4" fillId="20" borderId="0" xfId="0" applyNumberFormat="1" applyFont="1" applyFill="1" applyBorder="1" applyAlignment="1">
      <alignment horizontal="center" vertical="center"/>
    </xf>
    <xf numFmtId="0" fontId="0" fillId="20" borderId="5" xfId="0" applyNumberFormat="1" applyFill="1" applyBorder="1" applyAlignment="1">
      <alignment horizontal="left" vertical="center"/>
    </xf>
    <xf numFmtId="0" fontId="0" fillId="20" borderId="0" xfId="0" applyNumberFormat="1" applyFill="1" applyBorder="1" applyAlignment="1">
      <alignment horizontal="center" vertical="center"/>
    </xf>
    <xf numFmtId="0" fontId="14" fillId="20" borderId="0" xfId="0" applyNumberFormat="1" applyFont="1" applyFill="1" applyBorder="1" applyAlignment="1">
      <alignment horizontal="right" vertical="center"/>
    </xf>
    <xf numFmtId="0" fontId="14" fillId="20" borderId="0" xfId="0" applyNumberFormat="1" applyFont="1" applyFill="1" applyBorder="1" applyAlignment="1">
      <alignment horizontal="center" vertical="center"/>
    </xf>
    <xf numFmtId="0" fontId="14" fillId="20" borderId="5" xfId="0" applyNumberFormat="1" applyFont="1" applyFill="1" applyBorder="1" applyAlignment="1">
      <alignment horizontal="left" vertical="center"/>
    </xf>
    <xf numFmtId="0" fontId="42" fillId="20" borderId="0" xfId="0" applyNumberFormat="1" applyFont="1" applyFill="1" applyBorder="1" applyAlignment="1">
      <alignment horizontal="right" vertical="center"/>
    </xf>
    <xf numFmtId="0" fontId="29" fillId="20" borderId="5" xfId="0" applyNumberFormat="1" applyFont="1" applyFill="1" applyBorder="1" applyAlignment="1">
      <alignment horizontal="left" vertical="center"/>
    </xf>
    <xf numFmtId="0" fontId="29" fillId="20" borderId="0" xfId="0" applyNumberFormat="1" applyFont="1" applyFill="1" applyBorder="1" applyAlignment="1">
      <alignment horizontal="center" vertical="center"/>
    </xf>
    <xf numFmtId="0" fontId="0" fillId="20" borderId="7" xfId="0" applyNumberFormat="1" applyFill="1" applyBorder="1" applyAlignment="1">
      <alignment horizontal="left" vertical="center"/>
    </xf>
    <xf numFmtId="0" fontId="14" fillId="20" borderId="8" xfId="0" applyNumberFormat="1" applyFont="1" applyFill="1" applyBorder="1" applyAlignment="1">
      <alignment horizontal="center" vertical="center"/>
    </xf>
    <xf numFmtId="0" fontId="4" fillId="20" borderId="0" xfId="0" applyNumberFormat="1" applyFont="1" applyFill="1" applyBorder="1" applyAlignment="1">
      <alignment horizontal="left" vertical="center"/>
    </xf>
    <xf numFmtId="0" fontId="0" fillId="20" borderId="0" xfId="0" applyNumberFormat="1" applyFill="1" applyBorder="1" applyAlignment="1">
      <alignment horizontal="left" vertical="center"/>
    </xf>
    <xf numFmtId="0" fontId="20" fillId="20" borderId="0" xfId="0" applyNumberFormat="1" applyFont="1" applyFill="1" applyBorder="1" applyAlignment="1">
      <alignment horizontal="center" vertical="center"/>
    </xf>
    <xf numFmtId="0" fontId="20" fillId="20" borderId="8" xfId="0" applyNumberFormat="1" applyFont="1" applyFill="1" applyBorder="1" applyAlignment="1">
      <alignment horizontal="center" vertical="center"/>
    </xf>
    <xf numFmtId="0" fontId="0" fillId="20" borderId="8" xfId="0" applyNumberFormat="1" applyFill="1" applyBorder="1" applyAlignment="1">
      <alignment horizontal="center" vertical="center"/>
    </xf>
    <xf numFmtId="0" fontId="0" fillId="20" borderId="8" xfId="0" applyNumberFormat="1" applyFill="1" applyBorder="1" applyAlignment="1">
      <alignment horizontal="left" vertical="center"/>
    </xf>
    <xf numFmtId="0" fontId="0" fillId="20" borderId="0" xfId="0" applyFill="1" applyBorder="1"/>
    <xf numFmtId="0" fontId="14" fillId="20" borderId="0" xfId="0" applyNumberFormat="1" applyFont="1" applyFill="1" applyBorder="1" applyAlignment="1">
      <alignment horizontal="left" vertical="center"/>
    </xf>
    <xf numFmtId="0" fontId="29" fillId="20" borderId="0" xfId="0" applyNumberFormat="1" applyFont="1" applyFill="1" applyBorder="1" applyAlignment="1">
      <alignment horizontal="left" vertical="center"/>
    </xf>
    <xf numFmtId="167" fontId="63" fillId="20" borderId="0" xfId="0" applyNumberFormat="1" applyFont="1" applyFill="1" applyBorder="1" applyAlignment="1">
      <alignment horizontal="center" vertical="center"/>
    </xf>
    <xf numFmtId="0" fontId="64" fillId="20" borderId="0" xfId="0" applyFont="1" applyFill="1" applyBorder="1" applyAlignment="1">
      <alignment vertical="center"/>
    </xf>
    <xf numFmtId="167" fontId="59" fillId="20" borderId="0" xfId="0" applyNumberFormat="1" applyFont="1" applyFill="1" applyBorder="1" applyAlignment="1">
      <alignment horizontal="center" vertical="center"/>
    </xf>
    <xf numFmtId="167" fontId="60" fillId="20" borderId="0" xfId="0" applyNumberFormat="1" applyFont="1" applyFill="1" applyBorder="1" applyAlignment="1">
      <alignment horizontal="center" vertical="center"/>
    </xf>
    <xf numFmtId="0" fontId="59" fillId="20" borderId="0" xfId="0" applyFont="1" applyFill="1"/>
    <xf numFmtId="167" fontId="59" fillId="20" borderId="0" xfId="0" applyNumberFormat="1" applyFont="1" applyFill="1" applyBorder="1" applyAlignment="1">
      <alignment horizontal="right" vertical="center"/>
    </xf>
    <xf numFmtId="167" fontId="59" fillId="20" borderId="0" xfId="1" applyNumberFormat="1" applyFont="1" applyFill="1" applyBorder="1" applyAlignment="1">
      <alignment horizontal="center" vertical="center"/>
    </xf>
    <xf numFmtId="0" fontId="59" fillId="20" borderId="0" xfId="1" applyFont="1" applyFill="1" applyBorder="1"/>
    <xf numFmtId="167" fontId="59" fillId="20" borderId="0" xfId="1" applyNumberFormat="1" applyFont="1" applyFill="1" applyBorder="1" applyAlignment="1">
      <alignment horizontal="right" vertical="center"/>
    </xf>
    <xf numFmtId="167" fontId="14" fillId="24" borderId="37" xfId="0" applyNumberFormat="1" applyFont="1" applyFill="1" applyBorder="1" applyAlignment="1">
      <alignment vertical="center"/>
    </xf>
    <xf numFmtId="167" fontId="14" fillId="24" borderId="37" xfId="0" applyNumberFormat="1" applyFont="1" applyFill="1" applyBorder="1" applyAlignment="1">
      <alignment horizontal="center" vertical="center"/>
    </xf>
    <xf numFmtId="167" fontId="42" fillId="24" borderId="37" xfId="1" applyNumberFormat="1" applyFont="1" applyFill="1" applyBorder="1" applyAlignment="1">
      <alignment horizontal="center" vertical="center"/>
    </xf>
    <xf numFmtId="168" fontId="20" fillId="24" borderId="37" xfId="0" applyNumberFormat="1" applyFont="1" applyFill="1" applyBorder="1" applyAlignment="1">
      <alignment horizontal="center" vertical="center"/>
    </xf>
    <xf numFmtId="0" fontId="51" fillId="24" borderId="37" xfId="0" applyFont="1" applyFill="1" applyBorder="1" applyAlignment="1">
      <alignment horizontal="center" vertical="center"/>
    </xf>
    <xf numFmtId="0" fontId="59" fillId="24" borderId="37" xfId="0" applyNumberFormat="1" applyFont="1" applyFill="1" applyBorder="1"/>
    <xf numFmtId="0" fontId="60" fillId="24" borderId="37" xfId="0" applyNumberFormat="1" applyFont="1" applyFill="1" applyBorder="1" applyAlignment="1">
      <alignment horizontal="center" vertical="center"/>
    </xf>
    <xf numFmtId="0" fontId="60" fillId="24" borderId="37" xfId="0" applyNumberFormat="1" applyFont="1" applyFill="1" applyBorder="1" applyAlignment="1">
      <alignment horizontal="right" vertical="center"/>
    </xf>
    <xf numFmtId="0" fontId="61" fillId="24" borderId="37" xfId="0" applyNumberFormat="1" applyFont="1" applyFill="1" applyBorder="1" applyAlignment="1">
      <alignment horizontal="right" vertical="center"/>
    </xf>
    <xf numFmtId="0" fontId="20" fillId="24" borderId="37" xfId="0" applyNumberFormat="1" applyFont="1" applyFill="1" applyBorder="1" applyAlignment="1">
      <alignment horizontal="center" vertical="center"/>
    </xf>
    <xf numFmtId="0" fontId="20" fillId="24" borderId="37" xfId="1" applyNumberFormat="1" applyFont="1" applyFill="1" applyBorder="1" applyAlignment="1">
      <alignment horizontal="center" vertical="center"/>
    </xf>
    <xf numFmtId="0" fontId="0" fillId="20" borderId="6" xfId="0" applyFill="1" applyBorder="1"/>
    <xf numFmtId="0" fontId="0" fillId="20" borderId="9" xfId="0" applyFill="1" applyBorder="1"/>
    <xf numFmtId="0" fontId="27" fillId="21" borderId="10" xfId="0" applyNumberFormat="1" applyFont="1" applyFill="1" applyBorder="1" applyAlignment="1">
      <alignment horizontal="center" vertical="center" wrapText="1"/>
    </xf>
    <xf numFmtId="0" fontId="27" fillId="21" borderId="1" xfId="0" applyNumberFormat="1" applyFont="1" applyFill="1" applyBorder="1" applyAlignment="1">
      <alignment horizontal="center" vertical="center" wrapText="1"/>
    </xf>
    <xf numFmtId="0" fontId="27" fillId="21" borderId="11" xfId="0" applyNumberFormat="1" applyFont="1" applyFill="1" applyBorder="1" applyAlignment="1">
      <alignment horizontal="center" vertical="center" wrapText="1"/>
    </xf>
    <xf numFmtId="0" fontId="27" fillId="21" borderId="1" xfId="0" applyNumberFormat="1" applyFont="1" applyFill="1" applyBorder="1" applyAlignment="1">
      <alignment horizontal="center" vertical="center"/>
    </xf>
    <xf numFmtId="0" fontId="12" fillId="20" borderId="0" xfId="0" applyNumberFormat="1" applyFont="1" applyFill="1" applyBorder="1" applyAlignment="1">
      <alignment horizontal="left"/>
    </xf>
    <xf numFmtId="0" fontId="15" fillId="20" borderId="0" xfId="0" applyNumberFormat="1" applyFont="1" applyFill="1" applyBorder="1" applyAlignment="1">
      <alignment horizontal="left"/>
    </xf>
    <xf numFmtId="0" fontId="15" fillId="20" borderId="5" xfId="0" applyNumberFormat="1" applyFont="1" applyFill="1" applyBorder="1"/>
    <xf numFmtId="0" fontId="0" fillId="20" borderId="5" xfId="0" applyNumberFormat="1" applyFill="1" applyBorder="1"/>
    <xf numFmtId="0" fontId="0" fillId="20" borderId="0" xfId="0" applyNumberFormat="1" applyFill="1" applyBorder="1" applyAlignment="1">
      <alignment horizontal="left"/>
    </xf>
    <xf numFmtId="0" fontId="13" fillId="20" borderId="0" xfId="0" applyNumberFormat="1" applyFont="1" applyFill="1" applyBorder="1" applyAlignment="1">
      <alignment horizontal="left" vertical="center"/>
    </xf>
    <xf numFmtId="0" fontId="13" fillId="20" borderId="3" xfId="0" applyNumberFormat="1" applyFont="1" applyFill="1" applyBorder="1" applyAlignment="1">
      <alignment horizontal="left" vertical="center"/>
    </xf>
    <xf numFmtId="0" fontId="13" fillId="20" borderId="3" xfId="0" applyNumberFormat="1" applyFont="1" applyFill="1" applyBorder="1" applyAlignment="1">
      <alignment horizontal="center" vertical="center"/>
    </xf>
    <xf numFmtId="0" fontId="13" fillId="20" borderId="0" xfId="0" applyNumberFormat="1" applyFont="1" applyFill="1" applyBorder="1" applyAlignment="1">
      <alignment horizontal="center" vertical="center"/>
    </xf>
    <xf numFmtId="0" fontId="14" fillId="20" borderId="0" xfId="0" applyNumberFormat="1" applyFont="1" applyFill="1" applyBorder="1" applyAlignment="1">
      <alignment horizontal="left"/>
    </xf>
    <xf numFmtId="0" fontId="14" fillId="20" borderId="0" xfId="0" applyNumberFormat="1" applyFont="1" applyFill="1" applyBorder="1" applyAlignment="1">
      <alignment horizontal="center"/>
    </xf>
    <xf numFmtId="0" fontId="15" fillId="20" borderId="0" xfId="0" applyNumberFormat="1" applyFont="1" applyFill="1" applyBorder="1" applyAlignment="1">
      <alignment horizontal="center"/>
    </xf>
    <xf numFmtId="0" fontId="0" fillId="20" borderId="6" xfId="0" applyNumberFormat="1" applyFill="1" applyBorder="1"/>
    <xf numFmtId="0" fontId="12" fillId="20" borderId="0" xfId="0" applyNumberFormat="1" applyFont="1" applyFill="1" applyBorder="1" applyAlignment="1">
      <alignment horizontal="center"/>
    </xf>
    <xf numFmtId="0" fontId="0" fillId="20" borderId="6" xfId="0" applyNumberFormat="1" applyFill="1" applyBorder="1" applyAlignment="1">
      <alignment horizontal="left" vertical="center"/>
    </xf>
    <xf numFmtId="0" fontId="0" fillId="20" borderId="0" xfId="0" applyNumberFormat="1" applyFill="1" applyBorder="1" applyAlignment="1">
      <alignment horizontal="center"/>
    </xf>
    <xf numFmtId="0" fontId="2" fillId="24" borderId="37" xfId="0" applyNumberFormat="1" applyFont="1" applyFill="1" applyBorder="1"/>
    <xf numFmtId="0" fontId="14" fillId="24" borderId="37" xfId="0" applyNumberFormat="1" applyFont="1" applyFill="1" applyBorder="1" applyAlignment="1">
      <alignment horizontal="center" vertical="center"/>
    </xf>
    <xf numFmtId="0" fontId="15" fillId="24" borderId="37" xfId="0" applyNumberFormat="1" applyFont="1" applyFill="1" applyBorder="1" applyAlignment="1">
      <alignment horizontal="center"/>
    </xf>
    <xf numFmtId="0" fontId="14" fillId="24" borderId="37" xfId="0" applyNumberFormat="1" applyFont="1" applyFill="1" applyBorder="1" applyAlignment="1">
      <alignment horizontal="right" vertical="center"/>
    </xf>
    <xf numFmtId="0" fontId="0" fillId="24" borderId="37" xfId="0" applyNumberFormat="1" applyFill="1" applyBorder="1" applyAlignment="1">
      <alignment horizontal="center"/>
    </xf>
    <xf numFmtId="0" fontId="14" fillId="24" borderId="37" xfId="0" applyNumberFormat="1" applyFont="1" applyFill="1" applyBorder="1" applyAlignment="1">
      <alignment horizontal="left" vertical="center"/>
    </xf>
    <xf numFmtId="2" fontId="11" fillId="23" borderId="1" xfId="0" applyNumberFormat="1" applyFont="1" applyFill="1" applyBorder="1" applyAlignment="1" applyProtection="1">
      <alignment horizontal="center" vertical="center"/>
    </xf>
    <xf numFmtId="0" fontId="25" fillId="21" borderId="1" xfId="0" applyFont="1" applyFill="1" applyBorder="1" applyAlignment="1">
      <alignment horizontal="center" vertical="center"/>
    </xf>
    <xf numFmtId="0" fontId="20" fillId="21" borderId="10" xfId="0" applyFont="1" applyFill="1" applyBorder="1" applyAlignment="1">
      <alignment horizontal="center" vertical="center" wrapText="1"/>
    </xf>
    <xf numFmtId="49" fontId="20" fillId="21" borderId="7" xfId="0" applyNumberFormat="1" applyFont="1" applyFill="1" applyBorder="1" applyAlignment="1">
      <alignment horizontal="center" vertical="center" wrapText="1"/>
    </xf>
    <xf numFmtId="49" fontId="20" fillId="21" borderId="18" xfId="0" applyNumberFormat="1" applyFont="1" applyFill="1" applyBorder="1" applyAlignment="1">
      <alignment horizontal="center" vertical="center" wrapText="1"/>
    </xf>
    <xf numFmtId="0" fontId="0" fillId="20" borderId="5" xfId="0" applyFill="1" applyBorder="1"/>
    <xf numFmtId="0" fontId="14" fillId="20" borderId="5" xfId="0" applyFont="1" applyFill="1" applyBorder="1"/>
    <xf numFmtId="0" fontId="25" fillId="20" borderId="0" xfId="0" applyFont="1" applyFill="1" applyBorder="1" applyAlignment="1">
      <alignment horizontal="center" vertical="center"/>
    </xf>
    <xf numFmtId="0" fontId="47" fillId="20" borderId="0" xfId="0" applyFont="1" applyFill="1" applyBorder="1" applyAlignment="1">
      <alignment horizontal="center" vertical="center"/>
    </xf>
    <xf numFmtId="0" fontId="38" fillId="20" borderId="0" xfId="0" applyFont="1" applyFill="1" applyBorder="1" applyAlignment="1">
      <alignment horizontal="center" vertical="center"/>
    </xf>
    <xf numFmtId="0" fontId="5" fillId="20" borderId="0" xfId="0" applyFont="1" applyFill="1" applyBorder="1" applyAlignment="1">
      <alignment horizontal="center"/>
    </xf>
    <xf numFmtId="166" fontId="46" fillId="20" borderId="6" xfId="0" applyNumberFormat="1" applyFont="1" applyFill="1" applyBorder="1" applyAlignment="1">
      <alignment horizontal="center"/>
    </xf>
    <xf numFmtId="0" fontId="20" fillId="20" borderId="0" xfId="0" applyFont="1" applyFill="1" applyBorder="1" applyAlignment="1">
      <alignment horizontal="center" vertical="center"/>
    </xf>
    <xf numFmtId="0" fontId="12" fillId="20" borderId="6" xfId="0" applyFont="1" applyFill="1" applyBorder="1" applyAlignment="1">
      <alignment horizontal="center"/>
    </xf>
    <xf numFmtId="0" fontId="0" fillId="20" borderId="0" xfId="0" applyFill="1" applyBorder="1" applyAlignment="1">
      <alignment horizontal="center"/>
    </xf>
    <xf numFmtId="0" fontId="5" fillId="20" borderId="6" xfId="0" applyFont="1" applyFill="1" applyBorder="1" applyAlignment="1">
      <alignment horizontal="center"/>
    </xf>
    <xf numFmtId="0" fontId="46" fillId="20" borderId="0" xfId="0" applyFont="1" applyFill="1" applyBorder="1" applyAlignment="1">
      <alignment horizontal="center"/>
    </xf>
    <xf numFmtId="0" fontId="65" fillId="20" borderId="0" xfId="0" applyFont="1" applyFill="1" applyBorder="1" applyAlignment="1">
      <alignment horizontal="center" vertical="center"/>
    </xf>
    <xf numFmtId="0" fontId="62" fillId="20" borderId="0" xfId="0" applyFont="1" applyFill="1" applyBorder="1"/>
    <xf numFmtId="0" fontId="39" fillId="3" borderId="17" xfId="0" applyFont="1" applyFill="1" applyBorder="1" applyAlignment="1">
      <alignment horizontal="center"/>
    </xf>
    <xf numFmtId="0" fontId="39" fillId="3" borderId="18" xfId="0" applyFont="1" applyFill="1" applyBorder="1" applyAlignment="1">
      <alignment horizontal="center"/>
    </xf>
    <xf numFmtId="0" fontId="38" fillId="20" borderId="19" xfId="0" applyFont="1" applyFill="1" applyBorder="1" applyAlignment="1">
      <alignment horizontal="center" vertical="center"/>
    </xf>
    <xf numFmtId="0" fontId="29" fillId="23" borderId="2" xfId="0" applyFont="1" applyFill="1" applyBorder="1" applyAlignment="1">
      <alignment horizontal="center" vertical="center"/>
    </xf>
    <xf numFmtId="0" fontId="29" fillId="23" borderId="17" xfId="0" applyFont="1" applyFill="1" applyBorder="1" applyAlignment="1">
      <alignment horizontal="center" vertical="center"/>
    </xf>
    <xf numFmtId="0" fontId="29" fillId="23" borderId="3" xfId="0" applyFont="1" applyFill="1" applyBorder="1" applyAlignment="1">
      <alignment horizontal="center" vertical="center"/>
    </xf>
    <xf numFmtId="0" fontId="29" fillId="23" borderId="4" xfId="0" applyFont="1" applyFill="1" applyBorder="1" applyAlignment="1">
      <alignment horizontal="center" vertical="center"/>
    </xf>
    <xf numFmtId="0" fontId="53" fillId="25" borderId="1" xfId="0" applyFont="1" applyFill="1" applyBorder="1" applyAlignment="1">
      <alignment horizontal="center" vertical="center"/>
    </xf>
    <xf numFmtId="0" fontId="4" fillId="20" borderId="2" xfId="0" applyNumberFormat="1" applyFont="1" applyFill="1" applyBorder="1" applyAlignment="1">
      <alignment horizontal="left" vertical="center"/>
    </xf>
    <xf numFmtId="0" fontId="62" fillId="20" borderId="3" xfId="0" applyFont="1" applyFill="1" applyBorder="1"/>
    <xf numFmtId="0" fontId="0" fillId="20" borderId="3" xfId="0" applyNumberFormat="1" applyFill="1" applyBorder="1" applyAlignment="1">
      <alignment horizontal="left" vertical="center"/>
    </xf>
    <xf numFmtId="0" fontId="0" fillId="20" borderId="4" xfId="0" applyFill="1" applyBorder="1"/>
    <xf numFmtId="0" fontId="0" fillId="20" borderId="38" xfId="0" applyNumberFormat="1" applyFill="1" applyBorder="1" applyAlignment="1">
      <alignment horizontal="left" vertical="center"/>
    </xf>
    <xf numFmtId="0" fontId="29" fillId="20" borderId="5" xfId="0" applyFont="1" applyFill="1" applyBorder="1"/>
    <xf numFmtId="0" fontId="20" fillId="21" borderId="13" xfId="0" applyFont="1" applyFill="1" applyBorder="1" applyAlignment="1">
      <alignment horizontal="center" vertical="center"/>
    </xf>
    <xf numFmtId="0" fontId="20" fillId="25" borderId="36" xfId="0" applyNumberFormat="1" applyFont="1" applyFill="1" applyBorder="1" applyAlignment="1">
      <alignment horizontal="center" vertical="center"/>
    </xf>
    <xf numFmtId="0" fontId="56" fillId="20" borderId="5" xfId="0" applyNumberFormat="1" applyFont="1" applyFill="1" applyBorder="1" applyAlignment="1">
      <alignment horizontal="left" vertical="center"/>
    </xf>
    <xf numFmtId="0" fontId="29" fillId="20" borderId="8" xfId="0" applyNumberFormat="1" applyFont="1" applyFill="1" applyBorder="1" applyAlignment="1">
      <alignment horizontal="center" vertical="center"/>
    </xf>
    <xf numFmtId="0" fontId="0" fillId="20" borderId="8" xfId="0" applyFill="1" applyBorder="1"/>
    <xf numFmtId="0" fontId="25" fillId="20" borderId="0" xfId="0" applyNumberFormat="1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center" vertical="center"/>
    </xf>
    <xf numFmtId="0" fontId="53" fillId="21" borderId="1" xfId="0" applyFont="1" applyFill="1" applyBorder="1" applyAlignment="1">
      <alignment horizontal="center" vertical="center" wrapText="1"/>
    </xf>
    <xf numFmtId="0" fontId="58" fillId="20" borderId="0" xfId="0" applyFont="1" applyFill="1" applyBorder="1"/>
    <xf numFmtId="0" fontId="54" fillId="19" borderId="39" xfId="4" applyFont="1" applyFill="1" applyBorder="1" applyAlignment="1">
      <alignment wrapText="1"/>
    </xf>
    <xf numFmtId="14" fontId="36" fillId="7" borderId="13" xfId="0" applyNumberFormat="1" applyFont="1" applyFill="1" applyBorder="1"/>
    <xf numFmtId="167" fontId="14" fillId="20" borderId="0" xfId="0" applyNumberFormat="1" applyFont="1" applyFill="1" applyBorder="1" applyAlignment="1">
      <alignment horizontal="left" vertical="center"/>
    </xf>
    <xf numFmtId="167" fontId="14" fillId="24" borderId="37" xfId="0" applyNumberFormat="1" applyFont="1" applyFill="1" applyBorder="1" applyAlignment="1">
      <alignment horizontal="left" vertical="center"/>
    </xf>
    <xf numFmtId="0" fontId="20" fillId="24" borderId="40" xfId="0" applyFont="1" applyFill="1" applyBorder="1" applyAlignment="1">
      <alignment horizontal="center" vertical="center"/>
    </xf>
    <xf numFmtId="0" fontId="43" fillId="0" borderId="0" xfId="0" applyFont="1"/>
    <xf numFmtId="0" fontId="67" fillId="0" borderId="0" xfId="0" applyNumberFormat="1" applyFont="1" applyFill="1"/>
    <xf numFmtId="14" fontId="67" fillId="0" borderId="0" xfId="0" applyNumberFormat="1" applyFont="1" applyFill="1"/>
    <xf numFmtId="166" fontId="67" fillId="0" borderId="0" xfId="0" applyNumberFormat="1" applyFont="1" applyFill="1"/>
    <xf numFmtId="14" fontId="43" fillId="0" borderId="0" xfId="0" applyNumberFormat="1" applyFont="1"/>
    <xf numFmtId="167" fontId="28" fillId="21" borderId="41" xfId="0" applyNumberFormat="1" applyFont="1" applyFill="1" applyBorder="1" applyAlignment="1">
      <alignment horizontal="center" vertical="center"/>
    </xf>
    <xf numFmtId="164" fontId="28" fillId="21" borderId="41" xfId="0" applyNumberFormat="1" applyFont="1" applyFill="1" applyBorder="1" applyAlignment="1">
      <alignment horizontal="center" vertical="center"/>
    </xf>
    <xf numFmtId="164" fontId="28" fillId="21" borderId="42" xfId="0" applyNumberFormat="1" applyFont="1" applyFill="1" applyBorder="1" applyAlignment="1">
      <alignment horizontal="center" vertical="center"/>
    </xf>
    <xf numFmtId="14" fontId="0" fillId="20" borderId="22" xfId="0" applyNumberFormat="1" applyFill="1" applyBorder="1" applyAlignment="1">
      <alignment horizontal="center" vertical="center"/>
    </xf>
    <xf numFmtId="168" fontId="29" fillId="24" borderId="37" xfId="0" applyNumberFormat="1" applyFont="1" applyFill="1" applyBorder="1" applyAlignment="1">
      <alignment horizontal="center" vertical="center"/>
    </xf>
    <xf numFmtId="0" fontId="68" fillId="0" borderId="0" xfId="0" applyFont="1"/>
    <xf numFmtId="0" fontId="20" fillId="20" borderId="3" xfId="0" applyNumberFormat="1" applyFont="1" applyFill="1" applyBorder="1" applyAlignment="1">
      <alignment horizontal="center" vertical="center"/>
    </xf>
    <xf numFmtId="0" fontId="20" fillId="24" borderId="40" xfId="0" applyNumberFormat="1" applyFont="1" applyFill="1" applyBorder="1" applyAlignment="1">
      <alignment horizontal="center" vertical="center"/>
    </xf>
    <xf numFmtId="168" fontId="69" fillId="24" borderId="37" xfId="0" applyNumberFormat="1" applyFont="1" applyFill="1" applyBorder="1" applyAlignment="1">
      <alignment horizontal="left" vertical="center"/>
    </xf>
    <xf numFmtId="0" fontId="57" fillId="19" borderId="20" xfId="0" applyFont="1" applyFill="1" applyBorder="1" applyProtection="1"/>
    <xf numFmtId="14" fontId="0" fillId="0" borderId="22" xfId="0" applyNumberFormat="1" applyBorder="1" applyAlignment="1">
      <alignment horizontal="center" vertical="center"/>
    </xf>
    <xf numFmtId="14" fontId="0" fillId="0" borderId="22" xfId="0" applyNumberFormat="1" applyBorder="1" applyAlignment="1">
      <alignment horizontal="left" vertical="center"/>
    </xf>
    <xf numFmtId="14" fontId="0" fillId="3" borderId="22" xfId="0" applyNumberFormat="1" applyFill="1" applyBorder="1" applyAlignment="1">
      <alignment horizontal="center" vertical="center"/>
    </xf>
    <xf numFmtId="14" fontId="0" fillId="3" borderId="22" xfId="0" applyNumberFormat="1" applyFill="1" applyBorder="1" applyAlignment="1">
      <alignment horizontal="left" vertical="center"/>
    </xf>
    <xf numFmtId="14" fontId="0" fillId="3" borderId="19" xfId="0" applyNumberFormat="1" applyFill="1" applyBorder="1" applyAlignment="1">
      <alignment horizontal="left" vertical="center"/>
    </xf>
    <xf numFmtId="14" fontId="0" fillId="0" borderId="0" xfId="0" applyNumberFormat="1"/>
    <xf numFmtId="14" fontId="0" fillId="3" borderId="23" xfId="0" applyNumberFormat="1" applyFill="1" applyBorder="1" applyAlignment="1">
      <alignment horizontal="center" vertical="center"/>
    </xf>
    <xf numFmtId="14" fontId="0" fillId="3" borderId="23" xfId="0" applyNumberFormat="1" applyFill="1" applyBorder="1" applyAlignment="1">
      <alignment horizontal="left" vertical="center"/>
    </xf>
    <xf numFmtId="14" fontId="0" fillId="3" borderId="19" xfId="0" applyNumberFormat="1" applyFill="1" applyBorder="1" applyAlignment="1">
      <alignment horizontal="center" vertical="center"/>
    </xf>
    <xf numFmtId="0" fontId="0" fillId="3" borderId="20" xfId="0" applyNumberFormat="1" applyFill="1" applyBorder="1" applyAlignment="1">
      <alignment horizontal="center" vertical="center"/>
    </xf>
    <xf numFmtId="0" fontId="0" fillId="3" borderId="19" xfId="0" applyNumberFormat="1" applyFill="1" applyBorder="1" applyAlignment="1">
      <alignment horizontal="center" vertical="center"/>
    </xf>
    <xf numFmtId="168" fontId="33" fillId="23" borderId="11" xfId="0" applyNumberFormat="1" applyFont="1" applyFill="1" applyBorder="1" applyAlignment="1">
      <alignment horizontal="center" vertical="center"/>
    </xf>
    <xf numFmtId="0" fontId="9" fillId="3" borderId="23" xfId="0" applyNumberFormat="1" applyFont="1" applyFill="1" applyBorder="1" applyAlignment="1" applyProtection="1">
      <alignment horizontal="left" vertical="center" wrapText="1"/>
    </xf>
    <xf numFmtId="0" fontId="9" fillId="20" borderId="23" xfId="0" applyNumberFormat="1" applyFont="1" applyFill="1" applyBorder="1" applyAlignment="1" applyProtection="1">
      <alignment horizontal="left" vertical="center" wrapText="1"/>
    </xf>
    <xf numFmtId="0" fontId="9" fillId="20" borderId="21" xfId="0" applyNumberFormat="1" applyFont="1" applyFill="1" applyBorder="1" applyAlignment="1" applyProtection="1">
      <alignment horizontal="left" vertical="center" wrapText="1"/>
    </xf>
    <xf numFmtId="0" fontId="16" fillId="3" borderId="21" xfId="0" applyNumberFormat="1" applyFont="1" applyFill="1" applyBorder="1" applyAlignment="1" applyProtection="1">
      <alignment horizontal="left" vertical="center" wrapText="1"/>
    </xf>
    <xf numFmtId="0" fontId="9" fillId="3" borderId="21" xfId="0" applyNumberFormat="1" applyFont="1" applyFill="1" applyBorder="1" applyAlignment="1" applyProtection="1">
      <alignment horizontal="left" vertical="center" wrapText="1"/>
    </xf>
    <xf numFmtId="14" fontId="12" fillId="0" borderId="0" xfId="0" applyNumberFormat="1" applyFont="1" applyFill="1"/>
    <xf numFmtId="14" fontId="10" fillId="20" borderId="0" xfId="0" applyNumberFormat="1" applyFont="1" applyFill="1" applyBorder="1" applyProtection="1"/>
    <xf numFmtId="14" fontId="21" fillId="24" borderId="0" xfId="0" applyNumberFormat="1" applyFont="1" applyFill="1" applyBorder="1" applyAlignment="1" applyProtection="1">
      <alignment horizontal="center"/>
    </xf>
    <xf numFmtId="0" fontId="21" fillId="24" borderId="0" xfId="0" applyNumberFormat="1" applyFont="1" applyFill="1" applyBorder="1" applyAlignment="1" applyProtection="1">
      <alignment horizontal="center"/>
    </xf>
    <xf numFmtId="0" fontId="21" fillId="24" borderId="0" xfId="0" applyFont="1" applyFill="1" applyBorder="1" applyAlignment="1" applyProtection="1">
      <alignment horizontal="center" vertical="center"/>
    </xf>
    <xf numFmtId="0" fontId="44" fillId="0" borderId="0" xfId="0" applyFont="1" applyAlignment="1">
      <alignment wrapText="1"/>
    </xf>
    <xf numFmtId="0" fontId="69" fillId="20" borderId="0" xfId="0" applyNumberFormat="1" applyFont="1" applyFill="1" applyBorder="1" applyAlignment="1">
      <alignment horizontal="right" vertical="center"/>
    </xf>
    <xf numFmtId="0" fontId="70" fillId="20" borderId="0" xfId="0" applyNumberFormat="1" applyFont="1" applyFill="1" applyBorder="1" applyAlignment="1">
      <alignment horizontal="center" vertical="center"/>
    </xf>
    <xf numFmtId="0" fontId="51" fillId="25" borderId="0" xfId="0" applyFont="1" applyFill="1" applyAlignment="1">
      <alignment horizontal="center" vertical="center"/>
    </xf>
    <xf numFmtId="0" fontId="71" fillId="0" borderId="0" xfId="0" applyNumberFormat="1" applyFont="1" applyAlignment="1">
      <alignment horizontal="left" vertical="center"/>
    </xf>
    <xf numFmtId="0" fontId="24" fillId="21" borderId="2" xfId="0" applyFont="1" applyFill="1" applyBorder="1" applyAlignment="1" applyProtection="1">
      <alignment horizontal="center"/>
    </xf>
    <xf numFmtId="0" fontId="24" fillId="21" borderId="3" xfId="0" applyFont="1" applyFill="1" applyBorder="1" applyAlignment="1" applyProtection="1">
      <alignment horizontal="center"/>
    </xf>
    <xf numFmtId="0" fontId="24" fillId="21" borderId="4" xfId="0" applyFont="1" applyFill="1" applyBorder="1" applyAlignment="1" applyProtection="1">
      <alignment horizontal="center"/>
    </xf>
    <xf numFmtId="0" fontId="21" fillId="21" borderId="10" xfId="0" applyFont="1" applyFill="1" applyBorder="1" applyAlignment="1" applyProtection="1">
      <alignment horizontal="center" vertical="center"/>
    </xf>
    <xf numFmtId="0" fontId="21" fillId="21" borderId="11" xfId="0" applyFont="1" applyFill="1" applyBorder="1" applyAlignment="1" applyProtection="1">
      <alignment horizontal="center" vertical="center"/>
    </xf>
    <xf numFmtId="0" fontId="21" fillId="21" borderId="12" xfId="0" applyFont="1" applyFill="1" applyBorder="1" applyAlignment="1" applyProtection="1">
      <alignment horizontal="center" vertical="center"/>
    </xf>
    <xf numFmtId="0" fontId="23" fillId="22" borderId="10" xfId="0" applyFont="1" applyFill="1" applyBorder="1" applyAlignment="1" applyProtection="1">
      <alignment horizontal="center"/>
    </xf>
    <xf numFmtId="0" fontId="23" fillId="22" borderId="11" xfId="0" applyFont="1" applyFill="1" applyBorder="1" applyAlignment="1" applyProtection="1">
      <alignment horizontal="center"/>
    </xf>
    <xf numFmtId="0" fontId="23" fillId="22" borderId="12" xfId="0" applyFont="1" applyFill="1" applyBorder="1" applyAlignment="1" applyProtection="1">
      <alignment horizontal="center"/>
    </xf>
    <xf numFmtId="0" fontId="21" fillId="21" borderId="17" xfId="0" applyFont="1" applyFill="1" applyBorder="1" applyAlignment="1" applyProtection="1">
      <alignment horizontal="center" vertical="center"/>
    </xf>
    <xf numFmtId="0" fontId="21" fillId="21" borderId="18" xfId="0" applyFont="1" applyFill="1" applyBorder="1" applyAlignment="1" applyProtection="1">
      <alignment horizontal="center" vertical="center"/>
    </xf>
    <xf numFmtId="14" fontId="21" fillId="21" borderId="15" xfId="0" applyNumberFormat="1" applyFont="1" applyFill="1" applyBorder="1" applyAlignment="1" applyProtection="1">
      <alignment horizontal="center" vertical="center"/>
    </xf>
    <xf numFmtId="14" fontId="21" fillId="21" borderId="16" xfId="0" applyNumberFormat="1" applyFont="1" applyFill="1" applyBorder="1" applyAlignment="1" applyProtection="1">
      <alignment horizontal="center" vertical="center"/>
    </xf>
    <xf numFmtId="0" fontId="25" fillId="22" borderId="7" xfId="0" applyNumberFormat="1" applyFont="1" applyFill="1" applyBorder="1" applyAlignment="1">
      <alignment horizontal="center" vertical="center"/>
    </xf>
    <xf numFmtId="0" fontId="25" fillId="22" borderId="8" xfId="0" applyNumberFormat="1" applyFont="1" applyFill="1" applyBorder="1" applyAlignment="1">
      <alignment horizontal="center" vertical="center"/>
    </xf>
    <xf numFmtId="0" fontId="25" fillId="22" borderId="9" xfId="0" applyNumberFormat="1" applyFont="1" applyFill="1" applyBorder="1" applyAlignment="1">
      <alignment horizontal="center" vertical="center"/>
    </xf>
    <xf numFmtId="0" fontId="20" fillId="21" borderId="17" xfId="0" applyNumberFormat="1" applyFont="1" applyFill="1" applyBorder="1" applyAlignment="1">
      <alignment horizontal="center" vertical="center"/>
    </xf>
    <xf numFmtId="0" fontId="28" fillId="21" borderId="18" xfId="0" applyNumberFormat="1" applyFont="1" applyFill="1" applyBorder="1" applyAlignment="1">
      <alignment horizontal="center" vertical="center"/>
    </xf>
    <xf numFmtId="0" fontId="20" fillId="21" borderId="18" xfId="0" applyNumberFormat="1" applyFont="1" applyFill="1" applyBorder="1" applyAlignment="1">
      <alignment horizontal="center" vertical="center"/>
    </xf>
    <xf numFmtId="14" fontId="32" fillId="21" borderId="10" xfId="0" applyNumberFormat="1" applyFont="1" applyFill="1" applyBorder="1" applyAlignment="1">
      <alignment horizontal="center" vertical="center"/>
    </xf>
    <xf numFmtId="14" fontId="32" fillId="21" borderId="11" xfId="0" applyNumberFormat="1" applyFont="1" applyFill="1" applyBorder="1" applyAlignment="1">
      <alignment horizontal="center" vertical="center"/>
    </xf>
    <xf numFmtId="14" fontId="32" fillId="21" borderId="12" xfId="0" applyNumberFormat="1" applyFont="1" applyFill="1" applyBorder="1" applyAlignment="1">
      <alignment horizontal="center" vertical="center"/>
    </xf>
    <xf numFmtId="0" fontId="24" fillId="21" borderId="10" xfId="0" applyNumberFormat="1" applyFont="1" applyFill="1" applyBorder="1" applyAlignment="1" applyProtection="1">
      <alignment horizontal="center" vertical="center"/>
    </xf>
    <xf numFmtId="0" fontId="24" fillId="21" borderId="11" xfId="0" applyNumberFormat="1" applyFont="1" applyFill="1" applyBorder="1" applyAlignment="1" applyProtection="1">
      <alignment horizontal="center" vertical="center"/>
    </xf>
    <xf numFmtId="0" fontId="24" fillId="21" borderId="12" xfId="0" applyNumberFormat="1" applyFont="1" applyFill="1" applyBorder="1" applyAlignment="1" applyProtection="1">
      <alignment horizontal="center" vertical="center"/>
    </xf>
    <xf numFmtId="0" fontId="32" fillId="21" borderId="17" xfId="0" applyNumberFormat="1" applyFont="1" applyFill="1" applyBorder="1" applyAlignment="1">
      <alignment horizontal="center" vertical="center"/>
    </xf>
    <xf numFmtId="0" fontId="32" fillId="21" borderId="18" xfId="0" applyNumberFormat="1" applyFont="1" applyFill="1" applyBorder="1" applyAlignment="1">
      <alignment horizontal="center" vertical="center"/>
    </xf>
    <xf numFmtId="0" fontId="0" fillId="21" borderId="10" xfId="0" applyNumberFormat="1" applyFill="1" applyBorder="1" applyAlignment="1">
      <alignment horizontal="center"/>
    </xf>
    <xf numFmtId="0" fontId="0" fillId="21" borderId="12" xfId="0" applyNumberFormat="1" applyFill="1" applyBorder="1" applyAlignment="1">
      <alignment horizontal="center"/>
    </xf>
    <xf numFmtId="0" fontId="21" fillId="21" borderId="15" xfId="0" applyNumberFormat="1" applyFont="1" applyFill="1" applyBorder="1" applyAlignment="1" applyProtection="1">
      <alignment horizontal="center" vertical="center"/>
    </xf>
    <xf numFmtId="0" fontId="21" fillId="21" borderId="16" xfId="0" applyNumberFormat="1" applyFont="1" applyFill="1" applyBorder="1" applyAlignment="1" applyProtection="1">
      <alignment horizontal="center" vertical="center"/>
    </xf>
    <xf numFmtId="0" fontId="21" fillId="21" borderId="17" xfId="0" applyNumberFormat="1" applyFont="1" applyFill="1" applyBorder="1" applyAlignment="1" applyProtection="1">
      <alignment horizontal="center" vertical="center"/>
    </xf>
    <xf numFmtId="0" fontId="21" fillId="21" borderId="18" xfId="0" applyNumberFormat="1" applyFont="1" applyFill="1" applyBorder="1" applyAlignment="1" applyProtection="1">
      <alignment horizontal="center" vertical="center"/>
    </xf>
    <xf numFmtId="0" fontId="21" fillId="21" borderId="3" xfId="0" applyNumberFormat="1" applyFont="1" applyFill="1" applyBorder="1" applyAlignment="1" applyProtection="1">
      <alignment horizontal="center" vertical="center"/>
    </xf>
    <xf numFmtId="0" fontId="21" fillId="21" borderId="8" xfId="0" applyNumberFormat="1" applyFont="1" applyFill="1" applyBorder="1" applyAlignment="1" applyProtection="1">
      <alignment horizontal="center" vertical="center"/>
    </xf>
    <xf numFmtId="0" fontId="24" fillId="21" borderId="10" xfId="0" applyFont="1" applyFill="1" applyBorder="1" applyAlignment="1" applyProtection="1">
      <alignment horizontal="center" vertical="center"/>
    </xf>
    <xf numFmtId="0" fontId="24" fillId="21" borderId="11" xfId="0" applyFont="1" applyFill="1" applyBorder="1" applyAlignment="1" applyProtection="1">
      <alignment horizontal="center" vertical="center"/>
    </xf>
    <xf numFmtId="0" fontId="24" fillId="21" borderId="12" xfId="0" applyFont="1" applyFill="1" applyBorder="1" applyAlignment="1" applyProtection="1">
      <alignment horizontal="center" vertical="center"/>
    </xf>
    <xf numFmtId="167" fontId="20" fillId="21" borderId="41" xfId="0" applyNumberFormat="1" applyFont="1" applyFill="1" applyBorder="1" applyAlignment="1">
      <alignment horizontal="center" vertical="center"/>
    </xf>
    <xf numFmtId="167" fontId="20" fillId="21" borderId="42" xfId="0" applyNumberFormat="1" applyFont="1" applyFill="1" applyBorder="1" applyAlignment="1">
      <alignment horizontal="center" vertical="center"/>
    </xf>
    <xf numFmtId="167" fontId="20" fillId="21" borderId="41" xfId="0" applyNumberFormat="1" applyFont="1" applyFill="1" applyBorder="1" applyAlignment="1" applyProtection="1">
      <alignment horizontal="center" vertical="center"/>
    </xf>
    <xf numFmtId="167" fontId="20" fillId="21" borderId="42" xfId="0" applyNumberFormat="1" applyFont="1" applyFill="1" applyBorder="1" applyAlignment="1" applyProtection="1">
      <alignment horizontal="center" vertical="center"/>
    </xf>
    <xf numFmtId="14" fontId="20" fillId="21" borderId="41" xfId="0" applyNumberFormat="1" applyFont="1" applyFill="1" applyBorder="1" applyAlignment="1" applyProtection="1">
      <alignment horizontal="center" vertical="center"/>
    </xf>
    <xf numFmtId="14" fontId="20" fillId="21" borderId="42" xfId="0" applyNumberFormat="1" applyFont="1" applyFill="1" applyBorder="1" applyAlignment="1" applyProtection="1">
      <alignment horizontal="center" vertical="center"/>
    </xf>
    <xf numFmtId="0" fontId="20" fillId="21" borderId="41" xfId="0" applyNumberFormat="1" applyFont="1" applyFill="1" applyBorder="1" applyAlignment="1" applyProtection="1">
      <alignment horizontal="center" vertical="center"/>
    </xf>
    <xf numFmtId="0" fontId="20" fillId="21" borderId="42" xfId="0" applyNumberFormat="1" applyFont="1" applyFill="1" applyBorder="1" applyAlignment="1" applyProtection="1">
      <alignment horizontal="center" vertical="center"/>
    </xf>
    <xf numFmtId="0" fontId="25" fillId="22" borderId="10" xfId="0" applyFont="1" applyFill="1" applyBorder="1" applyAlignment="1">
      <alignment horizontal="center" vertical="center"/>
    </xf>
    <xf numFmtId="0" fontId="25" fillId="22" borderId="11" xfId="0" applyFont="1" applyFill="1" applyBorder="1" applyAlignment="1">
      <alignment horizontal="center" vertical="center"/>
    </xf>
    <xf numFmtId="0" fontId="25" fillId="22" borderId="12" xfId="0" applyFont="1" applyFill="1" applyBorder="1" applyAlignment="1">
      <alignment horizontal="center" vertical="center"/>
    </xf>
    <xf numFmtId="167" fontId="20" fillId="21" borderId="10" xfId="0" applyNumberFormat="1" applyFont="1" applyFill="1" applyBorder="1" applyAlignment="1">
      <alignment horizontal="center" vertical="center"/>
    </xf>
    <xf numFmtId="167" fontId="20" fillId="21" borderId="11" xfId="0" applyNumberFormat="1" applyFont="1" applyFill="1" applyBorder="1" applyAlignment="1">
      <alignment horizontal="center" vertical="center"/>
    </xf>
    <xf numFmtId="167" fontId="20" fillId="21" borderId="12" xfId="0" applyNumberFormat="1" applyFont="1" applyFill="1" applyBorder="1" applyAlignment="1">
      <alignment horizontal="center" vertical="center"/>
    </xf>
    <xf numFmtId="0" fontId="55" fillId="21" borderId="10" xfId="0" applyFont="1" applyFill="1" applyBorder="1" applyAlignment="1">
      <alignment horizontal="center" vertical="center"/>
    </xf>
    <xf numFmtId="0" fontId="55" fillId="21" borderId="11" xfId="0" applyFont="1" applyFill="1" applyBorder="1" applyAlignment="1">
      <alignment horizontal="center" vertical="center"/>
    </xf>
    <xf numFmtId="0" fontId="55" fillId="21" borderId="12" xfId="0" applyFont="1" applyFill="1" applyBorder="1" applyAlignment="1">
      <alignment horizontal="center" vertical="center"/>
    </xf>
    <xf numFmtId="0" fontId="26" fillId="21" borderId="10" xfId="0" applyNumberFormat="1" applyFont="1" applyFill="1" applyBorder="1" applyAlignment="1">
      <alignment horizontal="center"/>
    </xf>
    <xf numFmtId="0" fontId="26" fillId="21" borderId="11" xfId="0" applyNumberFormat="1" applyFont="1" applyFill="1" applyBorder="1" applyAlignment="1">
      <alignment horizontal="center"/>
    </xf>
    <xf numFmtId="0" fontId="26" fillId="21" borderId="12" xfId="0" applyNumberFormat="1" applyFont="1" applyFill="1" applyBorder="1" applyAlignment="1">
      <alignment horizontal="center"/>
    </xf>
    <xf numFmtId="0" fontId="34" fillId="21" borderId="10" xfId="0" applyFont="1" applyFill="1" applyBorder="1" applyAlignment="1" applyProtection="1">
      <alignment horizontal="center" vertical="center"/>
    </xf>
    <xf numFmtId="0" fontId="34" fillId="21" borderId="11" xfId="0" applyFont="1" applyFill="1" applyBorder="1" applyAlignment="1" applyProtection="1">
      <alignment horizontal="center" vertical="center"/>
    </xf>
    <xf numFmtId="0" fontId="34" fillId="21" borderId="12" xfId="0" applyFont="1" applyFill="1" applyBorder="1" applyAlignment="1" applyProtection="1">
      <alignment horizontal="center" vertical="center"/>
    </xf>
    <xf numFmtId="0" fontId="20" fillId="21" borderId="15" xfId="0" applyFont="1" applyFill="1" applyBorder="1" applyAlignment="1">
      <alignment horizontal="center" vertical="center"/>
    </xf>
    <xf numFmtId="0" fontId="20" fillId="21" borderId="16" xfId="0" applyFont="1" applyFill="1" applyBorder="1" applyAlignment="1">
      <alignment horizontal="center" vertical="center"/>
    </xf>
    <xf numFmtId="0" fontId="20" fillId="21" borderId="29" xfId="0" applyFont="1" applyFill="1" applyBorder="1" applyAlignment="1">
      <alignment horizontal="center" vertical="center"/>
    </xf>
    <xf numFmtId="0" fontId="20" fillId="21" borderId="28" xfId="0" applyFont="1" applyFill="1" applyBorder="1" applyAlignment="1">
      <alignment horizontal="center" vertical="center"/>
    </xf>
    <xf numFmtId="0" fontId="20" fillId="21" borderId="10" xfId="0" applyFont="1" applyFill="1" applyBorder="1" applyAlignment="1">
      <alignment horizontal="center"/>
    </xf>
    <xf numFmtId="0" fontId="20" fillId="21" borderId="11" xfId="0" applyFont="1" applyFill="1" applyBorder="1" applyAlignment="1">
      <alignment horizontal="center"/>
    </xf>
    <xf numFmtId="0" fontId="20" fillId="21" borderId="12" xfId="0" applyFont="1" applyFill="1" applyBorder="1" applyAlignment="1">
      <alignment horizontal="center"/>
    </xf>
    <xf numFmtId="0" fontId="34" fillId="21" borderId="2" xfId="0" applyFont="1" applyFill="1" applyBorder="1" applyAlignment="1">
      <alignment horizontal="center" vertical="center"/>
    </xf>
    <xf numFmtId="0" fontId="34" fillId="21" borderId="3" xfId="0" applyFont="1" applyFill="1" applyBorder="1" applyAlignment="1">
      <alignment horizontal="center" vertical="center"/>
    </xf>
    <xf numFmtId="0" fontId="34" fillId="21" borderId="4" xfId="0" applyFont="1" applyFill="1" applyBorder="1" applyAlignment="1">
      <alignment horizontal="center" vertical="center"/>
    </xf>
    <xf numFmtId="0" fontId="34" fillId="21" borderId="7" xfId="0" applyFont="1" applyFill="1" applyBorder="1" applyAlignment="1">
      <alignment horizontal="center" vertical="center"/>
    </xf>
    <xf numFmtId="0" fontId="34" fillId="21" borderId="8" xfId="0" applyFont="1" applyFill="1" applyBorder="1" applyAlignment="1">
      <alignment horizontal="center" vertical="center"/>
    </xf>
    <xf numFmtId="0" fontId="34" fillId="21" borderId="9" xfId="0" applyFont="1" applyFill="1" applyBorder="1" applyAlignment="1">
      <alignment horizontal="center" vertical="center"/>
    </xf>
    <xf numFmtId="0" fontId="43" fillId="14" borderId="32" xfId="0" applyFont="1" applyFill="1" applyBorder="1" applyAlignment="1">
      <alignment horizontal="center" vertical="center"/>
    </xf>
    <xf numFmtId="0" fontId="43" fillId="14" borderId="21" xfId="0" applyFont="1" applyFill="1" applyBorder="1" applyAlignment="1">
      <alignment horizontal="center" vertical="center"/>
    </xf>
    <xf numFmtId="0" fontId="34" fillId="21" borderId="10" xfId="0" applyNumberFormat="1" applyFont="1" applyFill="1" applyBorder="1" applyAlignment="1" applyProtection="1">
      <alignment horizontal="center" vertical="center"/>
    </xf>
    <xf numFmtId="0" fontId="34" fillId="21" borderId="11" xfId="0" applyNumberFormat="1" applyFont="1" applyFill="1" applyBorder="1" applyAlignment="1" applyProtection="1">
      <alignment horizontal="center" vertical="center"/>
    </xf>
    <xf numFmtId="0" fontId="34" fillId="21" borderId="12" xfId="0" applyNumberFormat="1" applyFont="1" applyFill="1" applyBorder="1" applyAlignment="1" applyProtection="1">
      <alignment horizontal="center" vertical="center"/>
    </xf>
    <xf numFmtId="0" fontId="25" fillId="22" borderId="10" xfId="0" applyNumberFormat="1" applyFont="1" applyFill="1" applyBorder="1" applyAlignment="1">
      <alignment horizontal="center" vertical="center"/>
    </xf>
    <xf numFmtId="0" fontId="25" fillId="22" borderId="11" xfId="0" applyNumberFormat="1" applyFont="1" applyFill="1" applyBorder="1" applyAlignment="1">
      <alignment horizontal="center" vertical="center"/>
    </xf>
    <xf numFmtId="0" fontId="25" fillId="22" borderId="12" xfId="0" applyNumberFormat="1" applyFont="1" applyFill="1" applyBorder="1" applyAlignment="1">
      <alignment horizontal="center" vertical="center"/>
    </xf>
  </cellXfs>
  <cellStyles count="5">
    <cellStyle name="Normal" xfId="0" builtinId="0"/>
    <cellStyle name="Normal 2" xfId="1"/>
    <cellStyle name="Normal 3" xfId="2"/>
    <cellStyle name="Normal_ResourceList" xfId="3"/>
    <cellStyle name="Normal_SubmitTimeEntry" xfId="4"/>
  </cellStyles>
  <dxfs count="7">
    <dxf>
      <font>
        <b/>
        <i val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C00000"/>
      </font>
    </dxf>
    <dxf>
      <numFmt numFmtId="30" formatCode="@"/>
    </dxf>
  </dxfs>
  <tableStyles count="0" defaultTableStyle="TableStyleMedium2" defaultPivotStyle="PivotStyleLight16"/>
  <colors>
    <mruColors>
      <color rgb="FFFFFF99"/>
      <color rgb="FF33CCFF"/>
      <color rgb="FFFFCC66"/>
      <color rgb="FF63C384"/>
      <color rgb="FF66FF66"/>
      <color rgb="FFCCFF99"/>
      <color rgb="FFFF5050"/>
      <color rgb="FF008000"/>
      <color rgb="FF0000FF"/>
      <color rgb="FFDAEE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drawing8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19.emf"/><Relationship Id="rId5" Type="http://schemas.openxmlformats.org/officeDocument/2006/relationships/image" Target="../media/image14.emf"/><Relationship Id="rId4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457200</xdr:colOff>
          <xdr:row>8</xdr:row>
          <xdr:rowOff>0</xdr:rowOff>
        </xdr:from>
        <xdr:to>
          <xdr:col>12</xdr:col>
          <xdr:colOff>1066800</xdr:colOff>
          <xdr:row>11</xdr:row>
          <xdr:rowOff>47625</xdr:rowOff>
        </xdr:to>
        <xdr:sp macro="" textlink="">
          <xdr:nvSpPr>
            <xdr:cNvPr id="1094" name="CheckBox_Submit" hidden="1">
              <a:extLst>
                <a:ext uri="{63B3BB69-23CF-44E3-9099-C40C66FF867C}">
                  <a14:compatExt spid="_x0000_s1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127000</xdr:colOff>
          <xdr:row>0</xdr:row>
          <xdr:rowOff>127000</xdr:rowOff>
        </xdr:from>
        <xdr:to>
          <xdr:col>0</xdr:col>
          <xdr:colOff>127000</xdr:colOff>
          <xdr:row>1</xdr:row>
          <xdr:rowOff>3175</xdr:rowOff>
        </xdr:to>
        <xdr:sp macro="" textlink="">
          <xdr:nvSpPr>
            <xdr:cNvPr id="1097" name="TempCombo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552450</xdr:colOff>
          <xdr:row>24</xdr:row>
          <xdr:rowOff>123825</xdr:rowOff>
        </xdr:from>
        <xdr:to>
          <xdr:col>7</xdr:col>
          <xdr:colOff>504825</xdr:colOff>
          <xdr:row>25</xdr:row>
          <xdr:rowOff>247650</xdr:rowOff>
        </xdr:to>
        <xdr:sp macro="" textlink="">
          <xdr:nvSpPr>
            <xdr:cNvPr id="1102" name="SubmitButton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704850</xdr:colOff>
          <xdr:row>24</xdr:row>
          <xdr:rowOff>123825</xdr:rowOff>
        </xdr:from>
        <xdr:to>
          <xdr:col>4</xdr:col>
          <xdr:colOff>1847850</xdr:colOff>
          <xdr:row>25</xdr:row>
          <xdr:rowOff>238125</xdr:rowOff>
        </xdr:to>
        <xdr:sp macro="" textlink="">
          <xdr:nvSpPr>
            <xdr:cNvPr id="1103" name="UpdateRecord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75008</xdr:colOff>
      <xdr:row>1</xdr:row>
      <xdr:rowOff>85727</xdr:rowOff>
    </xdr:from>
    <xdr:to>
      <xdr:col>2</xdr:col>
      <xdr:colOff>466724</xdr:colOff>
      <xdr:row>7</xdr:row>
      <xdr:rowOff>133351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333" y="361952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1771650</xdr:colOff>
          <xdr:row>6</xdr:row>
          <xdr:rowOff>104775</xdr:rowOff>
        </xdr:from>
        <xdr:to>
          <xdr:col>2</xdr:col>
          <xdr:colOff>152400</xdr:colOff>
          <xdr:row>8</xdr:row>
          <xdr:rowOff>104775</xdr:rowOff>
        </xdr:to>
        <xdr:sp macro="" textlink="">
          <xdr:nvSpPr>
            <xdr:cNvPr id="5131" name="CheckBox_Review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7</xdr:row>
          <xdr:rowOff>85725</xdr:rowOff>
        </xdr:from>
        <xdr:to>
          <xdr:col>3</xdr:col>
          <xdr:colOff>828675</xdr:colOff>
          <xdr:row>9</xdr:row>
          <xdr:rowOff>28575</xdr:rowOff>
        </xdr:to>
        <xdr:sp macro="" textlink="">
          <xdr:nvSpPr>
            <xdr:cNvPr id="5136" name="ApproveStatus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1438275</xdr:colOff>
      <xdr:row>1</xdr:row>
      <xdr:rowOff>28575</xdr:rowOff>
    </xdr:from>
    <xdr:to>
      <xdr:col>7</xdr:col>
      <xdr:colOff>572691</xdr:colOff>
      <xdr:row>5</xdr:row>
      <xdr:rowOff>38099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39700" y="295275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1485900</xdr:colOff>
          <xdr:row>10</xdr:row>
          <xdr:rowOff>9525</xdr:rowOff>
        </xdr:from>
        <xdr:to>
          <xdr:col>1</xdr:col>
          <xdr:colOff>1800225</xdr:colOff>
          <xdr:row>11</xdr:row>
          <xdr:rowOff>9525</xdr:rowOff>
        </xdr:to>
        <xdr:sp macro="" textlink="">
          <xdr:nvSpPr>
            <xdr:cNvPr id="16390" name="Show_Benched_Resources" hidden="1">
              <a:extLst>
                <a:ext uri="{63B3BB69-23CF-44E3-9099-C40C66FF867C}">
                  <a14:compatExt spid="_x0000_s16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9</xdr:row>
          <xdr:rowOff>114300</xdr:rowOff>
        </xdr:from>
        <xdr:to>
          <xdr:col>12</xdr:col>
          <xdr:colOff>371475</xdr:colOff>
          <xdr:row>10</xdr:row>
          <xdr:rowOff>123825</xdr:rowOff>
        </xdr:to>
        <xdr:sp macro="" textlink="">
          <xdr:nvSpPr>
            <xdr:cNvPr id="16399" name="Copydatabase_utility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1476375</xdr:colOff>
          <xdr:row>11</xdr:row>
          <xdr:rowOff>133350</xdr:rowOff>
        </xdr:from>
        <xdr:to>
          <xdr:col>1</xdr:col>
          <xdr:colOff>1724025</xdr:colOff>
          <xdr:row>13</xdr:row>
          <xdr:rowOff>19050</xdr:rowOff>
        </xdr:to>
        <xdr:sp macro="" textlink="">
          <xdr:nvSpPr>
            <xdr:cNvPr id="16401" name="Update_App_Status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19050</xdr:rowOff>
        </xdr:from>
        <xdr:to>
          <xdr:col>2</xdr:col>
          <xdr:colOff>2505075</xdr:colOff>
          <xdr:row>11</xdr:row>
          <xdr:rowOff>47625</xdr:rowOff>
        </xdr:to>
        <xdr:sp macro="" textlink="">
          <xdr:nvSpPr>
            <xdr:cNvPr id="16403" name="Show_NonBenched_Resources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9</xdr:row>
          <xdr:rowOff>19050</xdr:rowOff>
        </xdr:from>
        <xdr:to>
          <xdr:col>2</xdr:col>
          <xdr:colOff>1676400</xdr:colOff>
          <xdr:row>10</xdr:row>
          <xdr:rowOff>95250</xdr:rowOff>
        </xdr:to>
        <xdr:sp macro="" textlink="">
          <xdr:nvSpPr>
            <xdr:cNvPr id="16408" name="TempAuthorization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333375</xdr:colOff>
      <xdr:row>1</xdr:row>
      <xdr:rowOff>152400</xdr:rowOff>
    </xdr:from>
    <xdr:to>
      <xdr:col>12</xdr:col>
      <xdr:colOff>563166</xdr:colOff>
      <xdr:row>5</xdr:row>
      <xdr:rowOff>133349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77625" y="495300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11</xdr:row>
          <xdr:rowOff>85725</xdr:rowOff>
        </xdr:from>
        <xdr:to>
          <xdr:col>2</xdr:col>
          <xdr:colOff>190500</xdr:colOff>
          <xdr:row>12</xdr:row>
          <xdr:rowOff>104775</xdr:rowOff>
        </xdr:to>
        <xdr:sp macro="" textlink="">
          <xdr:nvSpPr>
            <xdr:cNvPr id="16410" name="Label1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85725</xdr:rowOff>
        </xdr:from>
        <xdr:to>
          <xdr:col>5</xdr:col>
          <xdr:colOff>733425</xdr:colOff>
          <xdr:row>4</xdr:row>
          <xdr:rowOff>104775</xdr:rowOff>
        </xdr:to>
        <xdr:sp macro="" textlink="">
          <xdr:nvSpPr>
            <xdr:cNvPr id="13326" name="View_Active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76200</xdr:rowOff>
        </xdr:from>
        <xdr:to>
          <xdr:col>5</xdr:col>
          <xdr:colOff>733425</xdr:colOff>
          <xdr:row>5</xdr:row>
          <xdr:rowOff>76200</xdr:rowOff>
        </xdr:to>
        <xdr:sp macro="" textlink="">
          <xdr:nvSpPr>
            <xdr:cNvPr id="13327" name="View_Inactive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76200</xdr:rowOff>
        </xdr:from>
        <xdr:to>
          <xdr:col>6</xdr:col>
          <xdr:colOff>123825</xdr:colOff>
          <xdr:row>6</xdr:row>
          <xdr:rowOff>95250</xdr:rowOff>
        </xdr:to>
        <xdr:sp macro="" textlink="">
          <xdr:nvSpPr>
            <xdr:cNvPr id="13329" name="View_Active_Bench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76200</xdr:rowOff>
        </xdr:from>
        <xdr:to>
          <xdr:col>6</xdr:col>
          <xdr:colOff>209550</xdr:colOff>
          <xdr:row>7</xdr:row>
          <xdr:rowOff>95250</xdr:rowOff>
        </xdr:to>
        <xdr:sp macro="" textlink="">
          <xdr:nvSpPr>
            <xdr:cNvPr id="13330" name="View_Inactive_Bench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676275</xdr:colOff>
          <xdr:row>8</xdr:row>
          <xdr:rowOff>28575</xdr:rowOff>
        </xdr:from>
        <xdr:to>
          <xdr:col>2</xdr:col>
          <xdr:colOff>2314575</xdr:colOff>
          <xdr:row>9</xdr:row>
          <xdr:rowOff>133350</xdr:rowOff>
        </xdr:to>
        <xdr:sp macro="" textlink="">
          <xdr:nvSpPr>
            <xdr:cNvPr id="13334" name="Update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304800</xdr:rowOff>
        </xdr:to>
        <xdr:sp macro="" textlink="">
          <xdr:nvSpPr>
            <xdr:cNvPr id="13336" name="TempCombo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561975</xdr:colOff>
      <xdr:row>1</xdr:row>
      <xdr:rowOff>38100</xdr:rowOff>
    </xdr:from>
    <xdr:to>
      <xdr:col>7</xdr:col>
      <xdr:colOff>1553766</xdr:colOff>
      <xdr:row>5</xdr:row>
      <xdr:rowOff>47624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59450" y="381000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9</xdr:row>
          <xdr:rowOff>9525</xdr:rowOff>
        </xdr:from>
        <xdr:to>
          <xdr:col>3</xdr:col>
          <xdr:colOff>0</xdr:colOff>
          <xdr:row>10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Capacity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523875</xdr:colOff>
          <xdr:row>9</xdr:row>
          <xdr:rowOff>9525</xdr:rowOff>
        </xdr:from>
        <xdr:to>
          <xdr:col>1</xdr:col>
          <xdr:colOff>904875</xdr:colOff>
          <xdr:row>10</xdr:row>
          <xdr:rowOff>95250</xdr:rowOff>
        </xdr:to>
        <xdr:sp macro="" textlink="">
          <xdr:nvSpPr>
            <xdr:cNvPr id="4110" name="MailExportSheet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238125</xdr:colOff>
      <xdr:row>1</xdr:row>
      <xdr:rowOff>28575</xdr:rowOff>
    </xdr:from>
    <xdr:to>
      <xdr:col>9</xdr:col>
      <xdr:colOff>1229916</xdr:colOff>
      <xdr:row>4</xdr:row>
      <xdr:rowOff>180974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87225" y="342900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276225</xdr:colOff>
          <xdr:row>6</xdr:row>
          <xdr:rowOff>133350</xdr:rowOff>
        </xdr:from>
        <xdr:to>
          <xdr:col>2</xdr:col>
          <xdr:colOff>962025</xdr:colOff>
          <xdr:row>8</xdr:row>
          <xdr:rowOff>19050</xdr:rowOff>
        </xdr:to>
        <xdr:sp macro="" textlink="">
          <xdr:nvSpPr>
            <xdr:cNvPr id="9227" name="CSend_Mail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6</xdr:col>
      <xdr:colOff>457200</xdr:colOff>
      <xdr:row>1</xdr:row>
      <xdr:rowOff>28575</xdr:rowOff>
    </xdr:from>
    <xdr:to>
      <xdr:col>7</xdr:col>
      <xdr:colOff>734616</xdr:colOff>
      <xdr:row>4</xdr:row>
      <xdr:rowOff>190499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58625" y="361950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133350</xdr:colOff>
          <xdr:row>0</xdr:row>
          <xdr:rowOff>266700</xdr:rowOff>
        </xdr:to>
        <xdr:sp macro="" textlink="">
          <xdr:nvSpPr>
            <xdr:cNvPr id="20489" name="TempCombo1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5</xdr:row>
          <xdr:rowOff>161925</xdr:rowOff>
        </xdr:from>
        <xdr:to>
          <xdr:col>4</xdr:col>
          <xdr:colOff>504825</xdr:colOff>
          <xdr:row>7</xdr:row>
          <xdr:rowOff>28575</xdr:rowOff>
        </xdr:to>
        <xdr:sp macro="" textlink="">
          <xdr:nvSpPr>
            <xdr:cNvPr id="20500" name="Request" hidden="1">
              <a:extLst>
                <a:ext uri="{63B3BB69-23CF-44E3-9099-C40C66FF867C}">
                  <a14:compatExt spid="_x0000_s2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533400</xdr:colOff>
      <xdr:row>1</xdr:row>
      <xdr:rowOff>47625</xdr:rowOff>
    </xdr:from>
    <xdr:to>
      <xdr:col>7</xdr:col>
      <xdr:colOff>1525191</xdr:colOff>
      <xdr:row>5</xdr:row>
      <xdr:rowOff>38099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58950" y="381000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4</xdr:row>
          <xdr:rowOff>171450</xdr:rowOff>
        </xdr:from>
        <xdr:to>
          <xdr:col>3</xdr:col>
          <xdr:colOff>1743075</xdr:colOff>
          <xdr:row>6</xdr:row>
          <xdr:rowOff>47625</xdr:rowOff>
        </xdr:to>
        <xdr:sp macro="" textlink="">
          <xdr:nvSpPr>
            <xdr:cNvPr id="21511" name="UpdateAuthorization" hidden="1">
              <a:extLst>
                <a:ext uri="{63B3BB69-23CF-44E3-9099-C40C66FF867C}">
                  <a14:compatExt spid="_x0000_s2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476250</xdr:colOff>
      <xdr:row>1</xdr:row>
      <xdr:rowOff>47625</xdr:rowOff>
    </xdr:from>
    <xdr:to>
      <xdr:col>7</xdr:col>
      <xdr:colOff>1468041</xdr:colOff>
      <xdr:row>5</xdr:row>
      <xdr:rowOff>47624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duotone>
            <a:prstClr val="black"/>
            <a:schemeClr val="bg2">
              <a:lumMod val="90000"/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1450" y="381000"/>
          <a:ext cx="991791" cy="8096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xtwinno1slem\Automation\Utilities%20Under%20Modification\Clarity%20Time%20Tracking%20Do%20not%20open\Archive\WeeklyDataTrack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amView"/>
      <sheetName val="RM "/>
      <sheetName val="ExportSheet"/>
      <sheetName val="WeeklyDataTracking"/>
    </sheet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1.xml"/><Relationship Id="rId3" Type="http://schemas.openxmlformats.org/officeDocument/2006/relationships/drawing" Target="../drawings/drawing3.xml"/><Relationship Id="rId7" Type="http://schemas.openxmlformats.org/officeDocument/2006/relationships/control" Target="../activeX/activeX8.xml"/><Relationship Id="rId12" Type="http://schemas.openxmlformats.org/officeDocument/2006/relationships/image" Target="../media/image11.emf"/><Relationship Id="rId2" Type="http://schemas.openxmlformats.org/officeDocument/2006/relationships/printerSettings" Target="../printerSettings/printerSettings5.bin"/><Relationship Id="rId16" Type="http://schemas.openxmlformats.org/officeDocument/2006/relationships/image" Target="../media/image13.emf"/><Relationship Id="rId1" Type="http://schemas.openxmlformats.org/officeDocument/2006/relationships/printerSettings" Target="../printerSettings/printerSettings4.bin"/><Relationship Id="rId6" Type="http://schemas.openxmlformats.org/officeDocument/2006/relationships/image" Target="../media/image8.emf"/><Relationship Id="rId11" Type="http://schemas.openxmlformats.org/officeDocument/2006/relationships/control" Target="../activeX/activeX10.xml"/><Relationship Id="rId5" Type="http://schemas.openxmlformats.org/officeDocument/2006/relationships/control" Target="../activeX/activeX7.xml"/><Relationship Id="rId15" Type="http://schemas.openxmlformats.org/officeDocument/2006/relationships/control" Target="../activeX/activeX12.xml"/><Relationship Id="rId10" Type="http://schemas.openxmlformats.org/officeDocument/2006/relationships/image" Target="../media/image10.emf"/><Relationship Id="rId4" Type="http://schemas.openxmlformats.org/officeDocument/2006/relationships/vmlDrawing" Target="../drawings/vmlDrawing3.vml"/><Relationship Id="rId9" Type="http://schemas.openxmlformats.org/officeDocument/2006/relationships/control" Target="../activeX/activeX9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control" Target="../activeX/activeX17.xml"/><Relationship Id="rId3" Type="http://schemas.openxmlformats.org/officeDocument/2006/relationships/drawing" Target="../drawings/drawing4.xml"/><Relationship Id="rId7" Type="http://schemas.openxmlformats.org/officeDocument/2006/relationships/control" Target="../activeX/activeX14.xml"/><Relationship Id="rId12" Type="http://schemas.openxmlformats.org/officeDocument/2006/relationships/image" Target="../media/image17.emf"/><Relationship Id="rId2" Type="http://schemas.openxmlformats.org/officeDocument/2006/relationships/printerSettings" Target="../printerSettings/printerSettings7.bin"/><Relationship Id="rId16" Type="http://schemas.openxmlformats.org/officeDocument/2006/relationships/image" Target="../media/image19.emf"/><Relationship Id="rId1" Type="http://schemas.openxmlformats.org/officeDocument/2006/relationships/printerSettings" Target="../printerSettings/printerSettings6.bin"/><Relationship Id="rId6" Type="http://schemas.openxmlformats.org/officeDocument/2006/relationships/image" Target="../media/image14.emf"/><Relationship Id="rId11" Type="http://schemas.openxmlformats.org/officeDocument/2006/relationships/control" Target="../activeX/activeX16.xml"/><Relationship Id="rId5" Type="http://schemas.openxmlformats.org/officeDocument/2006/relationships/control" Target="../activeX/activeX13.xml"/><Relationship Id="rId15" Type="http://schemas.openxmlformats.org/officeDocument/2006/relationships/control" Target="../activeX/activeX18.xml"/><Relationship Id="rId10" Type="http://schemas.openxmlformats.org/officeDocument/2006/relationships/image" Target="../media/image1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5.xml"/><Relationship Id="rId14" Type="http://schemas.openxmlformats.org/officeDocument/2006/relationships/image" Target="../media/image1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image" Target="../media/image20.emf"/><Relationship Id="rId5" Type="http://schemas.openxmlformats.org/officeDocument/2006/relationships/control" Target="../activeX/activeX19.xml"/><Relationship Id="rId4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21.emf"/><Relationship Id="rId4" Type="http://schemas.openxmlformats.org/officeDocument/2006/relationships/control" Target="../activeX/activeX2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3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2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24.emf"/><Relationship Id="rId4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2060"/>
  </sheetPr>
  <dimension ref="A1:AU46"/>
  <sheetViews>
    <sheetView showGridLines="0" showRowColHeaders="0" tabSelected="1" zoomScale="90" zoomScaleNormal="90" workbookViewId="0">
      <selection activeCell="E8" sqref="E8"/>
    </sheetView>
  </sheetViews>
  <sheetFormatPr defaultRowHeight="12.75"/>
  <cols>
    <col min="1" max="1" width="4.7109375" style="4" customWidth="1"/>
    <col min="2" max="2" width="9" style="4" customWidth="1"/>
    <col min="3" max="3" width="9.28515625" style="4" bestFit="1" customWidth="1"/>
    <col min="4" max="4" width="42.28515625" style="4" customWidth="1"/>
    <col min="5" max="5" width="31.140625" style="4" customWidth="1"/>
    <col min="6" max="6" width="8.7109375" style="4" customWidth="1"/>
    <col min="7" max="7" width="9.140625" style="4" customWidth="1"/>
    <col min="8" max="8" width="9.28515625" style="4" customWidth="1"/>
    <col min="9" max="9" width="10.5703125" style="4" customWidth="1"/>
    <col min="10" max="10" width="9.42578125" style="4" customWidth="1"/>
    <col min="11" max="11" width="9.85546875" style="4" customWidth="1"/>
    <col min="12" max="12" width="8.7109375" style="4" customWidth="1"/>
    <col min="13" max="13" width="16.28515625" style="4" customWidth="1"/>
    <col min="14" max="14" width="9" style="4" customWidth="1"/>
    <col min="15" max="15" width="4.7109375" style="4" customWidth="1"/>
    <col min="16" max="37" width="9.140625" style="4"/>
    <col min="38" max="38" width="9.140625" style="4" customWidth="1"/>
    <col min="39" max="39" width="27.140625" style="4" customWidth="1"/>
    <col min="40" max="40" width="25.28515625" style="4" customWidth="1"/>
    <col min="41" max="41" width="84.42578125" style="4" customWidth="1"/>
    <col min="42" max="42" width="21.85546875" style="4" customWidth="1"/>
    <col min="43" max="43" width="30.28515625" style="4" customWidth="1"/>
    <col min="44" max="44" width="41.42578125" style="4" customWidth="1"/>
    <col min="45" max="46" width="9.140625" style="4"/>
    <col min="47" max="47" width="5.7109375" style="4" customWidth="1"/>
    <col min="48" max="49" width="30.28515625" style="4" bestFit="1" customWidth="1"/>
    <col min="50" max="50" width="16.28515625" style="4" bestFit="1" customWidth="1"/>
    <col min="51" max="16384" width="9.140625" style="4"/>
  </cols>
  <sheetData>
    <row r="1" spans="1:47" ht="21.75" customHeight="1" thickBot="1">
      <c r="A1" s="352" t="s">
        <v>0</v>
      </c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4"/>
      <c r="AO1" s="4" t="s">
        <v>124</v>
      </c>
      <c r="AU1" s="14"/>
    </row>
    <row r="2" spans="1:47" ht="17.25" thickBot="1">
      <c r="A2" s="91"/>
      <c r="B2" s="98"/>
      <c r="C2" s="99"/>
      <c r="D2" s="358" t="s">
        <v>53</v>
      </c>
      <c r="E2" s="359"/>
      <c r="F2" s="359"/>
      <c r="G2" s="359"/>
      <c r="H2" s="359"/>
      <c r="I2" s="359"/>
      <c r="J2" s="359"/>
      <c r="K2" s="359"/>
      <c r="L2" s="360"/>
      <c r="M2" s="99"/>
      <c r="N2" s="109"/>
      <c r="O2" s="96"/>
      <c r="AO2" s="18" t="s">
        <v>46</v>
      </c>
      <c r="AU2" s="14"/>
    </row>
    <row r="3" spans="1:47" ht="6" customHeight="1">
      <c r="A3" s="91"/>
      <c r="B3" s="100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7"/>
      <c r="O3" s="96"/>
      <c r="AN3" s="16" t="s">
        <v>44</v>
      </c>
      <c r="AO3" s="18" t="s">
        <v>47</v>
      </c>
      <c r="AP3" s="48" t="s">
        <v>99</v>
      </c>
      <c r="AQ3" s="15" t="s">
        <v>169</v>
      </c>
      <c r="AR3" s="43" t="s">
        <v>83</v>
      </c>
      <c r="AU3" s="14"/>
    </row>
    <row r="4" spans="1:47" ht="4.5" customHeight="1" thickBot="1">
      <c r="A4" s="91"/>
      <c r="B4" s="100"/>
      <c r="C4" s="102"/>
      <c r="D4" s="101"/>
      <c r="E4" s="101"/>
      <c r="F4" s="101"/>
      <c r="G4" s="101"/>
      <c r="H4" s="106"/>
      <c r="I4" s="101"/>
      <c r="J4" s="101"/>
      <c r="K4" s="101"/>
      <c r="L4" s="108"/>
      <c r="M4" s="101"/>
      <c r="N4" s="107"/>
      <c r="O4" s="96"/>
      <c r="AN4" s="16" t="s">
        <v>45</v>
      </c>
      <c r="AO4" s="18" t="s">
        <v>48</v>
      </c>
      <c r="AP4" s="48" t="s">
        <v>75</v>
      </c>
      <c r="AQ4" s="47" t="s">
        <v>169</v>
      </c>
      <c r="AR4" s="43" t="s">
        <v>84</v>
      </c>
      <c r="AU4" s="14"/>
    </row>
    <row r="5" spans="1:47" ht="15" customHeight="1" thickBot="1">
      <c r="A5" s="91"/>
      <c r="B5" s="103"/>
      <c r="C5" s="101"/>
      <c r="D5" s="114" t="s">
        <v>50</v>
      </c>
      <c r="E5" s="84"/>
      <c r="F5" s="110"/>
      <c r="G5" s="113"/>
      <c r="H5" s="345"/>
      <c r="I5" s="112"/>
      <c r="J5" s="101"/>
      <c r="K5" s="113"/>
      <c r="L5" s="114" t="s">
        <v>74</v>
      </c>
      <c r="M5" s="115"/>
      <c r="N5" s="107"/>
      <c r="O5" s="96"/>
      <c r="AN5" s="5" t="s">
        <v>3</v>
      </c>
      <c r="AO5" s="5"/>
      <c r="AP5" s="6"/>
      <c r="AQ5" s="46" t="s">
        <v>9</v>
      </c>
      <c r="AR5" s="6"/>
      <c r="AU5" s="14"/>
    </row>
    <row r="6" spans="1:47" ht="3.75" customHeight="1">
      <c r="A6" s="91"/>
      <c r="B6" s="103"/>
      <c r="C6" s="101"/>
      <c r="D6" s="113"/>
      <c r="E6" s="106"/>
      <c r="F6" s="101"/>
      <c r="G6" s="113"/>
      <c r="H6" s="344"/>
      <c r="I6" s="112"/>
      <c r="J6" s="101"/>
      <c r="K6" s="113"/>
      <c r="L6" s="113"/>
      <c r="M6" s="101"/>
      <c r="N6" s="107"/>
      <c r="O6" s="96"/>
      <c r="AN6" s="5" t="s">
        <v>4</v>
      </c>
      <c r="AO6" s="8" t="str">
        <f ca="1">TEXT(AO7-7,"MM/DD/YYYY")</f>
        <v>04/02/2017</v>
      </c>
      <c r="AP6" s="7" t="str">
        <f ca="1">TEXT(AP7-7,"MM/DD/YYYY")</f>
        <v>04/08/2017</v>
      </c>
      <c r="AQ6" s="7" t="str">
        <f ca="1">TEXT(AO6,"mm/dd")</f>
        <v>04/02</v>
      </c>
      <c r="AR6" s="7" t="str">
        <f ca="1">TEXT(AP6,"mm/dd/yyyy")</f>
        <v>04/08/2017</v>
      </c>
      <c r="AU6" s="14"/>
    </row>
    <row r="7" spans="1:47" ht="13.5" customHeight="1" thickBot="1">
      <c r="A7" s="91"/>
      <c r="B7" s="100"/>
      <c r="C7" s="101"/>
      <c r="D7" s="101"/>
      <c r="E7" s="119"/>
      <c r="F7" s="101"/>
      <c r="G7" s="113"/>
      <c r="H7" s="346"/>
      <c r="I7" s="343"/>
      <c r="J7" s="101"/>
      <c r="K7" s="101"/>
      <c r="L7" s="113" t="s">
        <v>137</v>
      </c>
      <c r="M7" s="115" t="s">
        <v>75</v>
      </c>
      <c r="N7" s="107"/>
      <c r="O7" s="96"/>
      <c r="AN7" s="5" t="s">
        <v>5</v>
      </c>
      <c r="AO7" s="8" t="str">
        <f ca="1">TEXT(AO8-7,"MM/DD/YYYY")</f>
        <v>04/09/2017</v>
      </c>
      <c r="AP7" s="7" t="str">
        <f ca="1">TEXT(AP8-7,"MM/DD/YYYY")</f>
        <v>04/15/2017</v>
      </c>
      <c r="AQ7" s="7" t="str">
        <f ca="1">TEXT(AO7,"mm/dd/yyyy")</f>
        <v>04/09/2017</v>
      </c>
      <c r="AR7" s="7" t="str">
        <f ca="1">TEXT(AP7,"mm/dd/yyyy")</f>
        <v>04/15/2017</v>
      </c>
      <c r="AU7" s="14"/>
    </row>
    <row r="8" spans="1:47" ht="15" customHeight="1" thickBot="1">
      <c r="A8" s="91"/>
      <c r="B8" s="100"/>
      <c r="C8" s="104"/>
      <c r="D8" s="114" t="s">
        <v>29</v>
      </c>
      <c r="E8" s="84"/>
      <c r="F8" s="111"/>
      <c r="G8" s="113"/>
      <c r="H8" s="346"/>
      <c r="I8" s="343"/>
      <c r="J8" s="101"/>
      <c r="K8" s="101"/>
      <c r="L8" s="101"/>
      <c r="M8" s="101"/>
      <c r="N8" s="107"/>
      <c r="O8" s="96"/>
      <c r="AN8" s="5" t="s">
        <v>6</v>
      </c>
      <c r="AO8" s="8" t="str">
        <f ca="1">TEXT((TODAY())-WEEKDAY((TODAY()),1)+1,"MM/DD/YYYY")</f>
        <v>04/16/2017</v>
      </c>
      <c r="AP8" s="7" t="str">
        <f ca="1">TEXT(TODAY()+(7-WEEKDAY(TODAY(),1)),"MM/DD/YYYY")</f>
        <v>04/22/2017</v>
      </c>
      <c r="AQ8" s="7" t="str">
        <f ca="1">TEXT(AO8,"mm/dd/yyyy")</f>
        <v>04/16/2017</v>
      </c>
      <c r="AR8" s="7" t="str">
        <f ca="1">TEXT(AP8,"mm/dd/yyyy")</f>
        <v>04/22/2017</v>
      </c>
      <c r="AU8" s="14"/>
    </row>
    <row r="9" spans="1:47" ht="6.75" customHeight="1">
      <c r="A9" s="91"/>
      <c r="B9" s="100"/>
      <c r="C9" s="104"/>
      <c r="D9" s="120"/>
      <c r="E9" s="101"/>
      <c r="F9" s="106"/>
      <c r="G9" s="108"/>
      <c r="H9" s="113"/>
      <c r="I9" s="116"/>
      <c r="J9" s="117"/>
      <c r="K9" s="101"/>
      <c r="L9" s="113"/>
      <c r="M9" s="118"/>
      <c r="N9" s="107"/>
      <c r="O9" s="96"/>
      <c r="AN9" s="5" t="s">
        <v>7</v>
      </c>
      <c r="AO9" s="8" t="str">
        <f ca="1">TEXT(AO8+7,"MM/DD/YYYY")</f>
        <v>04/23/2017</v>
      </c>
      <c r="AP9" s="7" t="str">
        <f ca="1">TEXT(AP8+7,"MM/DD/YYYY")</f>
        <v>04/29/2017</v>
      </c>
      <c r="AQ9" s="7" t="str">
        <f ca="1">TEXT(AO9,"mm/dd/yyyy")</f>
        <v>04/23/2017</v>
      </c>
      <c r="AR9" s="7" t="str">
        <f ca="1">TEXT(AP9,"mm/dd/yyyy")</f>
        <v>04/29/2017</v>
      </c>
      <c r="AU9" s="14"/>
    </row>
    <row r="10" spans="1:47" ht="9" customHeight="1">
      <c r="A10" s="91"/>
      <c r="B10" s="100"/>
      <c r="C10" s="105" t="s">
        <v>28</v>
      </c>
      <c r="D10" s="121"/>
      <c r="E10" s="106"/>
      <c r="F10" s="106"/>
      <c r="G10" s="106"/>
      <c r="H10" s="101"/>
      <c r="I10" s="106"/>
      <c r="J10" s="101"/>
      <c r="K10" s="101"/>
      <c r="L10" s="101"/>
      <c r="M10" s="101"/>
      <c r="N10" s="107"/>
      <c r="O10" s="96"/>
      <c r="AN10" s="5" t="s">
        <v>8</v>
      </c>
      <c r="AO10" s="8" t="str">
        <f ca="1">TEXT(AO9+7,"MM/DD/YYYY")</f>
        <v>04/30/2017</v>
      </c>
      <c r="AP10" s="7" t="str">
        <f ca="1">TEXT(AP9+7,"MM/DD/YYYY")</f>
        <v>05/06/2017</v>
      </c>
      <c r="AQ10" s="7" t="str">
        <f ca="1">TEXT(AO10,"mm/dd/yyyy")</f>
        <v>04/30/2017</v>
      </c>
      <c r="AR10" s="7" t="str">
        <f ca="1">TEXT(AP10,"mm/dd/yyyy")</f>
        <v>05/06/2017</v>
      </c>
      <c r="AU10" s="14"/>
    </row>
    <row r="11" spans="1:47" ht="11.25" customHeight="1" thickBot="1">
      <c r="A11" s="91"/>
      <c r="B11" s="100"/>
      <c r="C11" s="106"/>
      <c r="D11" s="106"/>
      <c r="E11" s="106"/>
      <c r="F11" s="106"/>
      <c r="G11" s="106"/>
      <c r="H11" s="101"/>
      <c r="I11" s="106"/>
      <c r="J11" s="101"/>
      <c r="K11" s="101"/>
      <c r="L11" s="101"/>
      <c r="M11" s="101"/>
      <c r="N11" s="107"/>
      <c r="O11" s="96"/>
      <c r="AN11" s="9"/>
      <c r="AO11" s="9"/>
      <c r="AP11" s="10"/>
      <c r="AQ11" s="10"/>
      <c r="AR11" s="10"/>
    </row>
    <row r="12" spans="1:47" ht="14.25" customHeight="1" thickBot="1">
      <c r="A12" s="91"/>
      <c r="B12" s="100"/>
      <c r="C12" s="363" t="s">
        <v>11</v>
      </c>
      <c r="D12" s="363" t="s">
        <v>1</v>
      </c>
      <c r="E12" s="363" t="s">
        <v>10</v>
      </c>
      <c r="F12" s="85" t="s">
        <v>31</v>
      </c>
      <c r="G12" s="86" t="s">
        <v>32</v>
      </c>
      <c r="H12" s="87" t="s">
        <v>33</v>
      </c>
      <c r="I12" s="88" t="s">
        <v>34</v>
      </c>
      <c r="J12" s="87" t="s">
        <v>35</v>
      </c>
      <c r="K12" s="88" t="s">
        <v>36</v>
      </c>
      <c r="L12" s="87" t="s">
        <v>37</v>
      </c>
      <c r="M12" s="361" t="s">
        <v>2</v>
      </c>
      <c r="N12" s="107"/>
      <c r="O12" s="96"/>
      <c r="P12" s="11"/>
      <c r="Q12" s="12"/>
      <c r="R12" s="12"/>
      <c r="AN12" s="9" t="s">
        <v>85</v>
      </c>
      <c r="AO12" s="45" t="s">
        <v>86</v>
      </c>
      <c r="AP12" s="50" t="s">
        <v>103</v>
      </c>
      <c r="AQ12" s="53" t="s">
        <v>105</v>
      </c>
      <c r="AR12" s="52" t="s">
        <v>116</v>
      </c>
    </row>
    <row r="13" spans="1:47" ht="15" customHeight="1" thickBot="1">
      <c r="A13" s="91"/>
      <c r="B13" s="100"/>
      <c r="C13" s="364"/>
      <c r="D13" s="364"/>
      <c r="E13" s="364"/>
      <c r="F13" s="89"/>
      <c r="G13" s="90"/>
      <c r="H13" s="89"/>
      <c r="I13" s="90"/>
      <c r="J13" s="89"/>
      <c r="K13" s="90"/>
      <c r="L13" s="89"/>
      <c r="M13" s="362"/>
      <c r="N13" s="128"/>
      <c r="O13" s="97"/>
      <c r="AN13" s="9" t="s">
        <v>87</v>
      </c>
      <c r="AO13" s="45" t="s">
        <v>88</v>
      </c>
      <c r="AP13" s="50" t="s">
        <v>113</v>
      </c>
      <c r="AQ13" s="53" t="s">
        <v>106</v>
      </c>
      <c r="AR13" s="52" t="s">
        <v>149</v>
      </c>
    </row>
    <row r="14" spans="1:47" ht="24.75" customHeight="1">
      <c r="A14" s="91"/>
      <c r="B14" s="100"/>
      <c r="C14" s="13"/>
      <c r="D14" s="337"/>
      <c r="E14" s="340"/>
      <c r="F14" s="70"/>
      <c r="G14" s="74"/>
      <c r="H14" s="75"/>
      <c r="I14" s="74"/>
      <c r="J14" s="75"/>
      <c r="K14" s="74"/>
      <c r="L14" s="70"/>
      <c r="M14" s="65">
        <f>SUM(F14:L14)</f>
        <v>0</v>
      </c>
      <c r="N14" s="107"/>
      <c r="O14" s="96"/>
      <c r="AN14" s="9" t="s">
        <v>89</v>
      </c>
      <c r="AO14" s="45" t="s">
        <v>117</v>
      </c>
      <c r="AP14" s="50" t="s">
        <v>111</v>
      </c>
      <c r="AQ14" s="55" t="s">
        <v>110</v>
      </c>
      <c r="AR14" s="54" t="s">
        <v>118</v>
      </c>
    </row>
    <row r="15" spans="1:47" ht="24.75" customHeight="1">
      <c r="A15" s="91"/>
      <c r="B15" s="100"/>
      <c r="C15" s="129"/>
      <c r="D15" s="338"/>
      <c r="E15" s="339"/>
      <c r="F15" s="72"/>
      <c r="G15" s="130"/>
      <c r="H15" s="131"/>
      <c r="I15" s="130"/>
      <c r="J15" s="131"/>
      <c r="K15" s="130"/>
      <c r="L15" s="72"/>
      <c r="M15" s="66">
        <f>SUM(F15:L15)</f>
        <v>0</v>
      </c>
      <c r="N15" s="107"/>
      <c r="O15" s="96"/>
      <c r="AN15" s="9" t="s">
        <v>90</v>
      </c>
      <c r="AO15" s="45" t="s">
        <v>112</v>
      </c>
      <c r="AP15" s="50" t="s">
        <v>104</v>
      </c>
      <c r="AQ15" s="55" t="s">
        <v>107</v>
      </c>
      <c r="AR15" s="78" t="s">
        <v>131</v>
      </c>
    </row>
    <row r="16" spans="1:47" ht="27" customHeight="1">
      <c r="A16" s="91"/>
      <c r="B16" s="122"/>
      <c r="C16" s="13"/>
      <c r="D16" s="337"/>
      <c r="E16" s="341"/>
      <c r="F16" s="71"/>
      <c r="G16" s="76"/>
      <c r="H16" s="77"/>
      <c r="I16" s="76"/>
      <c r="J16" s="77"/>
      <c r="K16" s="76"/>
      <c r="L16" s="71"/>
      <c r="M16" s="66">
        <f t="shared" ref="M16:M23" si="0">SUM(F16:L16)</f>
        <v>0</v>
      </c>
      <c r="N16" s="107"/>
      <c r="O16" s="96"/>
      <c r="AN16" s="9" t="s">
        <v>91</v>
      </c>
      <c r="AO16" s="45" t="s">
        <v>92</v>
      </c>
      <c r="AP16" s="51" t="s">
        <v>108</v>
      </c>
      <c r="AQ16" s="79" t="s">
        <v>135</v>
      </c>
      <c r="AR16" s="80" t="s">
        <v>121</v>
      </c>
      <c r="AT16" s="12"/>
    </row>
    <row r="17" spans="1:44" ht="25.5" customHeight="1">
      <c r="A17" s="91"/>
      <c r="B17" s="122"/>
      <c r="C17" s="129"/>
      <c r="D17" s="338"/>
      <c r="E17" s="339"/>
      <c r="F17" s="72"/>
      <c r="G17" s="130"/>
      <c r="H17" s="131"/>
      <c r="I17" s="130"/>
      <c r="J17" s="131"/>
      <c r="K17" s="130"/>
      <c r="L17" s="72"/>
      <c r="M17" s="66">
        <f t="shared" si="0"/>
        <v>0</v>
      </c>
      <c r="N17" s="107"/>
      <c r="O17" s="96"/>
      <c r="AP17" s="51" t="s">
        <v>109</v>
      </c>
      <c r="AQ17" s="79" t="s">
        <v>129</v>
      </c>
      <c r="AR17" s="80" t="s">
        <v>123</v>
      </c>
    </row>
    <row r="18" spans="1:44" ht="25.5" customHeight="1">
      <c r="A18" s="91"/>
      <c r="B18" s="122"/>
      <c r="C18" s="13"/>
      <c r="D18" s="337"/>
      <c r="E18" s="341"/>
      <c r="F18" s="71"/>
      <c r="G18" s="76"/>
      <c r="H18" s="77"/>
      <c r="I18" s="76"/>
      <c r="J18" s="77"/>
      <c r="K18" s="76"/>
      <c r="L18" s="71"/>
      <c r="M18" s="66">
        <f t="shared" si="0"/>
        <v>0</v>
      </c>
      <c r="N18" s="107"/>
      <c r="O18" s="96"/>
      <c r="AP18" s="50" t="s">
        <v>103</v>
      </c>
      <c r="AQ18" s="79" t="s">
        <v>160</v>
      </c>
      <c r="AR18" s="80" t="s">
        <v>120</v>
      </c>
    </row>
    <row r="19" spans="1:44" ht="26.25" customHeight="1">
      <c r="A19" s="91"/>
      <c r="B19" s="122"/>
      <c r="C19" s="129"/>
      <c r="D19" s="338"/>
      <c r="E19" s="339"/>
      <c r="F19" s="72"/>
      <c r="G19" s="130"/>
      <c r="H19" s="131"/>
      <c r="I19" s="130"/>
      <c r="J19" s="131"/>
      <c r="K19" s="130"/>
      <c r="L19" s="72"/>
      <c r="M19" s="66">
        <f t="shared" si="0"/>
        <v>0</v>
      </c>
      <c r="N19" s="107"/>
      <c r="O19" s="96"/>
      <c r="AO19" s="30"/>
      <c r="AP19" s="82" t="s">
        <v>104</v>
      </c>
      <c r="AQ19" s="81" t="s">
        <v>127</v>
      </c>
      <c r="AR19" s="80" t="s">
        <v>122</v>
      </c>
    </row>
    <row r="20" spans="1:44" ht="26.25" customHeight="1">
      <c r="A20" s="91"/>
      <c r="B20" s="122"/>
      <c r="C20" s="13"/>
      <c r="D20" s="337"/>
      <c r="E20" s="341"/>
      <c r="F20" s="71"/>
      <c r="G20" s="76"/>
      <c r="H20" s="77"/>
      <c r="I20" s="76"/>
      <c r="J20" s="77"/>
      <c r="K20" s="76"/>
      <c r="L20" s="71"/>
      <c r="M20" s="66">
        <f t="shared" si="0"/>
        <v>0</v>
      </c>
      <c r="N20" s="107"/>
      <c r="O20" s="96"/>
      <c r="AP20" s="83" t="s">
        <v>134</v>
      </c>
      <c r="AQ20" s="81" t="s">
        <v>130</v>
      </c>
      <c r="AR20" s="305" t="s">
        <v>119</v>
      </c>
    </row>
    <row r="21" spans="1:44" ht="26.25" customHeight="1">
      <c r="A21" s="91"/>
      <c r="B21" s="122"/>
      <c r="C21" s="129"/>
      <c r="D21" s="338"/>
      <c r="E21" s="339"/>
      <c r="F21" s="72"/>
      <c r="G21" s="130"/>
      <c r="H21" s="131"/>
      <c r="I21" s="130"/>
      <c r="J21" s="131"/>
      <c r="K21" s="130"/>
      <c r="L21" s="72"/>
      <c r="M21" s="66">
        <f t="shared" si="0"/>
        <v>0</v>
      </c>
      <c r="N21" s="107"/>
      <c r="O21" s="96"/>
      <c r="AP21" s="55" t="s">
        <v>110</v>
      </c>
      <c r="AQ21" s="324" t="s">
        <v>138</v>
      </c>
      <c r="AR21" s="306" t="s">
        <v>127</v>
      </c>
    </row>
    <row r="22" spans="1:44" ht="24.75" customHeight="1">
      <c r="A22" s="91"/>
      <c r="B22" s="122"/>
      <c r="C22" s="13"/>
      <c r="D22" s="337"/>
      <c r="E22" s="341"/>
      <c r="F22" s="71"/>
      <c r="G22" s="76"/>
      <c r="H22" s="77"/>
      <c r="I22" s="76"/>
      <c r="J22" s="77"/>
      <c r="K22" s="76"/>
      <c r="L22" s="71"/>
      <c r="M22" s="66">
        <f t="shared" si="0"/>
        <v>0</v>
      </c>
      <c r="N22" s="107"/>
      <c r="O22" s="96"/>
      <c r="AO22" s="30"/>
      <c r="AP22" s="55" t="s">
        <v>107</v>
      </c>
      <c r="AR22" s="306" t="s">
        <v>136</v>
      </c>
    </row>
    <row r="23" spans="1:44" ht="24.75" customHeight="1" thickBot="1">
      <c r="A23" s="91"/>
      <c r="B23" s="122"/>
      <c r="C23" s="129"/>
      <c r="D23" s="338"/>
      <c r="E23" s="339"/>
      <c r="F23" s="73"/>
      <c r="G23" s="132"/>
      <c r="H23" s="133"/>
      <c r="I23" s="132"/>
      <c r="J23" s="133"/>
      <c r="K23" s="132"/>
      <c r="L23" s="73"/>
      <c r="M23" s="66">
        <f t="shared" si="0"/>
        <v>0</v>
      </c>
      <c r="N23" s="107"/>
      <c r="O23" s="96"/>
      <c r="AP23" s="55" t="s">
        <v>159</v>
      </c>
      <c r="AR23" s="31"/>
    </row>
    <row r="24" spans="1:44" ht="21" customHeight="1" thickBot="1">
      <c r="A24" s="91"/>
      <c r="B24" s="122"/>
      <c r="C24" s="355" t="s">
        <v>30</v>
      </c>
      <c r="D24" s="356"/>
      <c r="E24" s="357"/>
      <c r="F24" s="67">
        <f t="shared" ref="F24:M24" si="1">SUM(F14:F23)</f>
        <v>0</v>
      </c>
      <c r="G24" s="68">
        <f t="shared" si="1"/>
        <v>0</v>
      </c>
      <c r="H24" s="69">
        <f t="shared" si="1"/>
        <v>0</v>
      </c>
      <c r="I24" s="68">
        <f t="shared" si="1"/>
        <v>0</v>
      </c>
      <c r="J24" s="69">
        <f t="shared" si="1"/>
        <v>0</v>
      </c>
      <c r="K24" s="68">
        <f t="shared" si="1"/>
        <v>0</v>
      </c>
      <c r="L24" s="69">
        <f t="shared" si="1"/>
        <v>0</v>
      </c>
      <c r="M24" s="263">
        <f t="shared" si="1"/>
        <v>0</v>
      </c>
      <c r="N24" s="107"/>
      <c r="O24" s="96"/>
      <c r="AP24" s="55" t="s">
        <v>188</v>
      </c>
    </row>
    <row r="25" spans="1:44">
      <c r="A25" s="91"/>
      <c r="B25" s="122"/>
      <c r="C25" s="101"/>
      <c r="D25" s="101"/>
      <c r="E25" s="101"/>
      <c r="F25" s="124"/>
      <c r="G25" s="124"/>
      <c r="H25" s="124"/>
      <c r="I25" s="124"/>
      <c r="J25" s="124"/>
      <c r="K25" s="124"/>
      <c r="L25" s="101"/>
      <c r="M25" s="124"/>
      <c r="N25" s="107"/>
      <c r="O25" s="96"/>
      <c r="AP25" s="55" t="s">
        <v>148</v>
      </c>
    </row>
    <row r="26" spans="1:44" ht="21.75" customHeight="1">
      <c r="A26" s="91"/>
      <c r="B26" s="122"/>
      <c r="C26" s="101"/>
      <c r="D26" s="101"/>
      <c r="E26" s="101"/>
      <c r="F26" s="124"/>
      <c r="G26" s="124"/>
      <c r="H26" s="124"/>
      <c r="I26" s="124"/>
      <c r="J26" s="124"/>
      <c r="K26" s="124"/>
      <c r="L26" s="124"/>
      <c r="M26" s="124"/>
      <c r="N26" s="107"/>
      <c r="O26" s="96"/>
    </row>
    <row r="27" spans="1:44">
      <c r="A27" s="91"/>
      <c r="B27" s="122"/>
      <c r="C27" s="101"/>
      <c r="D27" s="101"/>
      <c r="E27" s="101"/>
      <c r="F27" s="124"/>
      <c r="G27" s="124"/>
      <c r="H27" s="124"/>
      <c r="I27" s="124"/>
      <c r="J27" s="124"/>
      <c r="K27" s="124"/>
      <c r="L27" s="124"/>
      <c r="M27" s="124"/>
      <c r="N27" s="107"/>
      <c r="O27" s="96"/>
    </row>
    <row r="28" spans="1:44" ht="11.25" customHeight="1" thickBot="1">
      <c r="A28" s="91"/>
      <c r="B28" s="123"/>
      <c r="C28" s="125"/>
      <c r="D28" s="125"/>
      <c r="E28" s="125"/>
      <c r="F28" s="126"/>
      <c r="G28" s="126"/>
      <c r="H28" s="126"/>
      <c r="I28" s="126"/>
      <c r="J28" s="126"/>
      <c r="K28" s="126"/>
      <c r="L28" s="126"/>
      <c r="M28" s="126"/>
      <c r="N28" s="127"/>
      <c r="O28" s="96"/>
    </row>
    <row r="29" spans="1:44" ht="23.25" customHeight="1" thickBot="1">
      <c r="A29" s="92"/>
      <c r="B29" s="93"/>
      <c r="C29" s="94"/>
      <c r="D29" s="93"/>
      <c r="E29" s="93"/>
      <c r="F29" s="93"/>
      <c r="G29" s="93"/>
      <c r="H29" s="93"/>
      <c r="I29" s="93"/>
      <c r="J29" s="93"/>
      <c r="K29" s="93"/>
      <c r="L29" s="93"/>
      <c r="M29" s="93"/>
      <c r="N29" s="93"/>
      <c r="O29" s="95"/>
      <c r="AN29" s="4" t="s">
        <v>115</v>
      </c>
    </row>
    <row r="30" spans="1:44">
      <c r="AM30" s="4" t="s">
        <v>26</v>
      </c>
      <c r="AN30" s="4" t="s">
        <v>163</v>
      </c>
      <c r="AO30" s="4" t="s">
        <v>125</v>
      </c>
    </row>
    <row r="31" spans="1:44">
      <c r="AM31" s="4" t="s">
        <v>14</v>
      </c>
      <c r="AN31" s="4" t="s">
        <v>38</v>
      </c>
      <c r="AO31" s="4" t="s">
        <v>26</v>
      </c>
    </row>
    <row r="32" spans="1:44">
      <c r="AM32" s="4" t="s">
        <v>22</v>
      </c>
      <c r="AN32" s="4" t="s">
        <v>27</v>
      </c>
    </row>
    <row r="33" spans="39:40">
      <c r="AM33" s="4" t="s">
        <v>39</v>
      </c>
      <c r="AN33" s="4" t="s">
        <v>26</v>
      </c>
    </row>
    <row r="34" spans="39:40">
      <c r="AM34" s="4" t="s">
        <v>23</v>
      </c>
      <c r="AN34" s="4" t="s">
        <v>203</v>
      </c>
    </row>
    <row r="35" spans="39:40">
      <c r="AM35" s="4" t="s">
        <v>40</v>
      </c>
      <c r="AN35" s="4" t="s">
        <v>21</v>
      </c>
    </row>
    <row r="36" spans="39:40">
      <c r="AN36" s="4" t="s">
        <v>162</v>
      </c>
    </row>
    <row r="37" spans="39:40">
      <c r="AN37" s="4" t="s">
        <v>164</v>
      </c>
    </row>
    <row r="38" spans="39:40">
      <c r="AN38" s="4" t="s">
        <v>204</v>
      </c>
    </row>
    <row r="39" spans="39:40">
      <c r="AN39" s="4" t="s">
        <v>14</v>
      </c>
    </row>
    <row r="40" spans="39:40">
      <c r="AN40" s="4" t="s">
        <v>22</v>
      </c>
    </row>
    <row r="41" spans="39:40">
      <c r="AN41" s="4" t="s">
        <v>39</v>
      </c>
    </row>
    <row r="42" spans="39:40">
      <c r="AN42" s="4" t="s">
        <v>185</v>
      </c>
    </row>
    <row r="43" spans="39:40">
      <c r="AN43" s="4" t="s">
        <v>24</v>
      </c>
    </row>
    <row r="44" spans="39:40">
      <c r="AN44" s="4" t="s">
        <v>23</v>
      </c>
    </row>
    <row r="45" spans="39:40">
      <c r="AN45" s="4" t="s">
        <v>40</v>
      </c>
    </row>
    <row r="46" spans="39:40">
      <c r="AN46" s="4" t="s">
        <v>60</v>
      </c>
    </row>
  </sheetData>
  <sheetProtection deleteColumns="0" deleteRows="0"/>
  <dataConsolidate/>
  <customSheetViews>
    <customSheetView guid="{C002DE34-9017-4B24-BEC0-B3132A326B4B}" showGridLines="0">
      <selection activeCell="E8" sqref="E8"/>
      <pageMargins left="0.7" right="0.7" top="0.75" bottom="0.75" header="0.3" footer="0.3"/>
      <pageSetup orientation="portrait" r:id="rId1"/>
    </customSheetView>
  </customSheetViews>
  <mergeCells count="7">
    <mergeCell ref="A1:O1"/>
    <mergeCell ref="C24:E24"/>
    <mergeCell ref="D2:L2"/>
    <mergeCell ref="M12:M13"/>
    <mergeCell ref="C12:C13"/>
    <mergeCell ref="E12:E13"/>
    <mergeCell ref="D12:D13"/>
  </mergeCells>
  <conditionalFormatting sqref="E14:E23">
    <cfRule type="notContainsErrors" dxfId="6" priority="10">
      <formula>NOT(ISERROR(E14))</formula>
    </cfRule>
  </conditionalFormatting>
  <conditionalFormatting sqref="G14">
    <cfRule type="cellIs" dxfId="5" priority="9" operator="greaterThan">
      <formula>0</formula>
    </cfRule>
  </conditionalFormatting>
  <conditionalFormatting sqref="F14:L24">
    <cfRule type="cellIs" dxfId="4" priority="8" operator="greaterThan">
      <formula>0</formula>
    </cfRule>
  </conditionalFormatting>
  <conditionalFormatting sqref="M14:M23">
    <cfRule type="cellIs" dxfId="3" priority="7" operator="greaterThan">
      <formula>0</formula>
    </cfRule>
  </conditionalFormatting>
  <conditionalFormatting sqref="F14:M23">
    <cfRule type="cellIs" dxfId="2" priority="5" operator="greaterThan">
      <formula>0</formula>
    </cfRule>
  </conditionalFormatting>
  <conditionalFormatting sqref="M14:M23 F24:M24">
    <cfRule type="cellIs" dxfId="1" priority="4" operator="greaterThan">
      <formula>0</formula>
    </cfRule>
  </conditionalFormatting>
  <conditionalFormatting sqref="F14:L23">
    <cfRule type="dataBar" priority="3">
      <dataBar>
        <cfvo type="num" val="0"/>
        <cfvo type="num" val="8"/>
        <color theme="3" tint="0.59999389629810485"/>
      </dataBar>
      <extLst>
        <ext xmlns:x14="http://schemas.microsoft.com/office/spreadsheetml/2009/9/main" uri="{B025F937-C7B1-47D3-B67F-A62EFF666E3E}">
          <x14:id>{6465C559-91EF-49DF-80DD-59A682C27CF1}</x14:id>
        </ext>
      </extLst>
    </cfRule>
  </conditionalFormatting>
  <conditionalFormatting sqref="F24:L24">
    <cfRule type="dataBar" priority="2">
      <dataBar>
        <cfvo type="num" val="0"/>
        <cfvo type="num" val="8"/>
        <color theme="5" tint="0.39997558519241921"/>
      </dataBar>
      <extLst>
        <ext xmlns:x14="http://schemas.microsoft.com/office/spreadsheetml/2009/9/main" uri="{B025F937-C7B1-47D3-B67F-A62EFF666E3E}">
          <x14:id>{C6D390BA-4F20-45B6-B3DD-99EFBA693047}</x14:id>
        </ext>
      </extLst>
    </cfRule>
  </conditionalFormatting>
  <conditionalFormatting sqref="M14:M24">
    <cfRule type="dataBar" priority="1">
      <dataBar>
        <cfvo type="num" val="0"/>
        <cfvo type="num" val="40"/>
        <color theme="5" tint="0.39997558519241921"/>
      </dataBar>
      <extLst>
        <ext xmlns:x14="http://schemas.microsoft.com/office/spreadsheetml/2009/9/main" uri="{B025F937-C7B1-47D3-B67F-A62EFF666E3E}">
          <x14:id>{D5D39206-6B13-4684-AF70-CFF62B16C74E}</x14:id>
        </ext>
      </extLst>
    </cfRule>
  </conditionalFormatting>
  <dataValidations count="3">
    <dataValidation type="list" showInputMessage="1" showErrorMessage="1" sqref="E5">
      <formula1>AN30:AN46</formula1>
    </dataValidation>
    <dataValidation type="list" showInputMessage="1" showErrorMessage="1" sqref="M7">
      <formula1>AP3:AP4</formula1>
    </dataValidation>
    <dataValidation type="list" showInputMessage="1" showErrorMessage="1" sqref="E8">
      <formula1>",04/09/2017 - 04/15/2017,04/16/2017 - 04/22/2017,04/23/2017 - 04/29/2017,View Records For Previous Time Period Week,,,,,,"</formula1>
    </dataValidation>
  </dataValidation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03" r:id="rId5" name="UpdateRecord">
          <controlPr defaultSize="0" disabled="1" autoLine="0" r:id="rId6">
            <anchor moveWithCells="1">
              <from>
                <xdr:col>4</xdr:col>
                <xdr:colOff>704850</xdr:colOff>
                <xdr:row>24</xdr:row>
                <xdr:rowOff>123825</xdr:rowOff>
              </from>
              <to>
                <xdr:col>4</xdr:col>
                <xdr:colOff>1847850</xdr:colOff>
                <xdr:row>25</xdr:row>
                <xdr:rowOff>238125</xdr:rowOff>
              </to>
            </anchor>
          </controlPr>
        </control>
      </mc:Choice>
      <mc:Fallback>
        <control shapeId="1103" r:id="rId5" name="UpdateRecord"/>
      </mc:Fallback>
    </mc:AlternateContent>
    <mc:AlternateContent xmlns:mc="http://schemas.openxmlformats.org/markup-compatibility/2006">
      <mc:Choice Requires="x14">
        <control shapeId="1102" r:id="rId7" name="SubmitButton">
          <controlPr defaultSize="0" disabled="1" autoLine="0" r:id="rId8">
            <anchor moveWithCells="1">
              <from>
                <xdr:col>5</xdr:col>
                <xdr:colOff>552450</xdr:colOff>
                <xdr:row>24</xdr:row>
                <xdr:rowOff>123825</xdr:rowOff>
              </from>
              <to>
                <xdr:col>7</xdr:col>
                <xdr:colOff>504825</xdr:colOff>
                <xdr:row>25</xdr:row>
                <xdr:rowOff>247650</xdr:rowOff>
              </to>
            </anchor>
          </controlPr>
        </control>
      </mc:Choice>
      <mc:Fallback>
        <control shapeId="1102" r:id="rId7" name="SubmitButton"/>
      </mc:Fallback>
    </mc:AlternateContent>
    <mc:AlternateContent xmlns:mc="http://schemas.openxmlformats.org/markup-compatibility/2006">
      <mc:Choice Requires="x14">
        <control shapeId="1094" r:id="rId9" name="CheckBox_Submit">
          <controlPr defaultSize="0" autoLine="0" r:id="rId10">
            <anchor moveWithCells="1">
              <from>
                <xdr:col>11</xdr:col>
                <xdr:colOff>457200</xdr:colOff>
                <xdr:row>8</xdr:row>
                <xdr:rowOff>0</xdr:rowOff>
              </from>
              <to>
                <xdr:col>12</xdr:col>
                <xdr:colOff>1066800</xdr:colOff>
                <xdr:row>11</xdr:row>
                <xdr:rowOff>47625</xdr:rowOff>
              </to>
            </anchor>
          </controlPr>
        </control>
      </mc:Choice>
      <mc:Fallback>
        <control shapeId="1094" r:id="rId9" name="CheckBox_Submit"/>
      </mc:Fallback>
    </mc:AlternateContent>
    <mc:AlternateContent xmlns:mc="http://schemas.openxmlformats.org/markup-compatibility/2006">
      <mc:Choice Requires="x14">
        <control shapeId="1097" r:id="rId11" name="TempCombo">
          <controlPr defaultSize="0" autoLine="0" r:id="rId12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1097" r:id="rId11" name="TempCombo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65C559-91EF-49DF-80DD-59A682C27CF1}">
            <x14:dataBar minLength="0" maxLength="100">
              <x14:cfvo type="num">
                <xm:f>0</xm:f>
              </x14:cfvo>
              <x14:cfvo type="num">
                <xm:f>8</xm:f>
              </x14:cfvo>
              <x14:negativeFillColor rgb="FFFF0000"/>
              <x14:axisColor rgb="FF000000"/>
            </x14:dataBar>
          </x14:cfRule>
          <xm:sqref>F14:L23</xm:sqref>
        </x14:conditionalFormatting>
        <x14:conditionalFormatting xmlns:xm="http://schemas.microsoft.com/office/excel/2006/main">
          <x14:cfRule type="dataBar" id="{C6D390BA-4F20-45B6-B3DD-99EFBA693047}">
            <x14:dataBar minLength="0" maxLength="100">
              <x14:cfvo type="num">
                <xm:f>0</xm:f>
              </x14:cfvo>
              <x14:cfvo type="num">
                <xm:f>8</xm:f>
              </x14:cfvo>
              <x14:negativeFillColor rgb="FFFF0000"/>
              <x14:axisColor rgb="FF000000"/>
            </x14:dataBar>
          </x14:cfRule>
          <xm:sqref>F24:L24</xm:sqref>
        </x14:conditionalFormatting>
        <x14:conditionalFormatting xmlns:xm="http://schemas.microsoft.com/office/excel/2006/main">
          <x14:cfRule type="dataBar" id="{D5D39206-6B13-4684-AF70-CFF62B16C74E}">
            <x14:dataBar minLength="0" maxLength="100">
              <x14:cfvo type="num">
                <xm:f>0</xm:f>
              </x14:cfvo>
              <x14:cfvo type="num">
                <xm:f>40</xm:f>
              </x14:cfvo>
              <x14:negativeFillColor rgb="FFFF0000"/>
              <x14:axisColor rgb="FF000000"/>
            </x14:dataBar>
          </x14:cfRule>
          <xm:sqref>M14:M24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7">
        <x14:dataValidation type="list" showInputMessage="1" showErrorMessage="1">
          <x14:formula1>
            <xm:f>ResourceList!AN401:AN401</xm:f>
          </x14:formula1>
          <xm:sqref>E18</xm:sqref>
        </x14:dataValidation>
        <x14:dataValidation type="list" showInputMessage="1" showErrorMessage="1">
          <x14:formula1>
            <xm:f>ResourceList!AN402:AN402</xm:f>
          </x14:formula1>
          <xm:sqref>E19</xm:sqref>
        </x14:dataValidation>
        <x14:dataValidation type="list" showInputMessage="1" showErrorMessage="1">
          <x14:formula1>
            <xm:f>ResourceList!AN403:AN403</xm:f>
          </x14:formula1>
          <xm:sqref>E20</xm:sqref>
        </x14:dataValidation>
        <x14:dataValidation type="list" showInputMessage="1" showErrorMessage="1">
          <x14:formula1>
            <xm:f>ResourceList!AN415:AN419</xm:f>
          </x14:formula1>
          <xm:sqref>E15</xm:sqref>
        </x14:dataValidation>
        <x14:dataValidation type="list" showInputMessage="1" showErrorMessage="1">
          <x14:formula1>
            <xm:f>ResourceList!AN420:AN420</xm:f>
          </x14:formula1>
          <xm:sqref>E16</xm:sqref>
        </x14:dataValidation>
        <x14:dataValidation type="list" showInputMessage="1" showErrorMessage="1">
          <x14:formula1>
            <xm:f>ResourceList!AN421:AN421</xm:f>
          </x14:formula1>
          <xm:sqref>E17</xm:sqref>
        </x14:dataValidation>
        <x14:dataValidation type="list" showInputMessage="1" showErrorMessage="1">
          <x14:formula1>
            <xm:f>ResourceList!AN422:AN422</xm:f>
          </x14:formula1>
          <xm:sqref>E14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1"/>
  </sheetPr>
  <dimension ref="A1:AB41"/>
  <sheetViews>
    <sheetView showGridLines="0" showRowColHeaders="0" workbookViewId="0">
      <selection activeCell="B4" sqref="B4"/>
    </sheetView>
  </sheetViews>
  <sheetFormatPr defaultRowHeight="15"/>
  <cols>
    <col min="1" max="1" width="23.7109375" style="19" customWidth="1"/>
    <col min="2" max="2" width="41.140625" style="19" customWidth="1"/>
    <col min="3" max="3" width="14" style="19" bestFit="1" customWidth="1"/>
    <col min="4" max="4" width="15.85546875" style="19" bestFit="1" customWidth="1"/>
    <col min="5" max="5" width="9.5703125" style="19" customWidth="1"/>
    <col min="6" max="6" width="18" style="19" customWidth="1"/>
    <col min="7" max="7" width="27.85546875" style="19" customWidth="1"/>
    <col min="26" max="26" width="9.140625" customWidth="1"/>
    <col min="27" max="28" width="34.140625" hidden="1" customWidth="1"/>
    <col min="29" max="29" width="9.140625" customWidth="1"/>
    <col min="38" max="39" width="9.140625" customWidth="1"/>
  </cols>
  <sheetData>
    <row r="1" spans="1:8" ht="21" thickBot="1">
      <c r="A1" s="374" t="s">
        <v>0</v>
      </c>
      <c r="B1" s="375"/>
      <c r="C1" s="375"/>
      <c r="D1" s="375"/>
      <c r="E1" s="375"/>
      <c r="F1" s="375"/>
      <c r="G1" s="375"/>
      <c r="H1" s="376"/>
    </row>
    <row r="2" spans="1:8" ht="18" thickBot="1">
      <c r="A2" s="135"/>
      <c r="B2" s="365" t="s">
        <v>52</v>
      </c>
      <c r="C2" s="366"/>
      <c r="D2" s="366"/>
      <c r="E2" s="366"/>
      <c r="F2" s="367"/>
      <c r="G2" s="136"/>
      <c r="H2" s="235"/>
    </row>
    <row r="3" spans="1:8" ht="15" customHeight="1" thickBot="1">
      <c r="A3" s="135"/>
      <c r="B3" s="137"/>
      <c r="C3" s="138"/>
      <c r="D3" s="137"/>
      <c r="E3" s="139"/>
      <c r="F3" s="140"/>
      <c r="G3" s="136"/>
      <c r="H3" s="235"/>
    </row>
    <row r="4" spans="1:8" ht="15" customHeight="1" thickBot="1">
      <c r="A4" s="141" t="s">
        <v>29</v>
      </c>
      <c r="B4" s="134"/>
      <c r="C4" s="136"/>
      <c r="D4" s="229"/>
      <c r="E4" s="230"/>
      <c r="F4" s="138"/>
      <c r="G4" s="136"/>
      <c r="H4" s="235"/>
    </row>
    <row r="5" spans="1:8" ht="15" customHeight="1" thickBot="1">
      <c r="A5" s="142"/>
      <c r="B5" s="143"/>
      <c r="C5" s="143"/>
      <c r="D5" s="231"/>
      <c r="E5" s="233"/>
      <c r="F5" s="138"/>
      <c r="G5" s="136"/>
      <c r="H5" s="235"/>
    </row>
    <row r="6" spans="1:8" ht="15" customHeight="1" thickBot="1">
      <c r="A6" s="141" t="s">
        <v>51</v>
      </c>
      <c r="B6" s="134"/>
      <c r="C6" s="144"/>
      <c r="D6" s="232"/>
      <c r="E6" s="234"/>
      <c r="F6" s="145"/>
      <c r="G6" s="136"/>
      <c r="H6" s="235"/>
    </row>
    <row r="7" spans="1:8" ht="15" customHeight="1">
      <c r="A7" s="142"/>
      <c r="B7" s="137"/>
      <c r="C7" s="138"/>
      <c r="D7" s="231"/>
      <c r="E7" s="234"/>
      <c r="F7" s="145"/>
      <c r="G7" s="136"/>
      <c r="H7" s="235"/>
    </row>
    <row r="8" spans="1:8" ht="15" customHeight="1">
      <c r="A8" s="146" t="s">
        <v>63</v>
      </c>
      <c r="B8" s="147"/>
      <c r="C8" s="136"/>
      <c r="D8" s="138"/>
      <c r="E8" s="138"/>
      <c r="F8" s="138"/>
      <c r="G8" s="136"/>
      <c r="H8" s="235"/>
    </row>
    <row r="9" spans="1:8" ht="9.75" customHeight="1">
      <c r="A9" s="146"/>
      <c r="B9" s="147"/>
      <c r="C9" s="136"/>
      <c r="D9" s="138"/>
      <c r="E9" s="138"/>
      <c r="F9" s="138"/>
      <c r="G9" s="136"/>
      <c r="H9" s="235"/>
    </row>
    <row r="10" spans="1:8" ht="9.75" customHeight="1" thickBot="1">
      <c r="A10" s="142"/>
      <c r="B10" s="138"/>
      <c r="C10" s="138"/>
      <c r="D10" s="138"/>
      <c r="E10" s="138"/>
      <c r="F10" s="138"/>
      <c r="G10" s="136"/>
      <c r="H10" s="235"/>
    </row>
    <row r="11" spans="1:8">
      <c r="A11" s="381" t="s">
        <v>17</v>
      </c>
      <c r="B11" s="383" t="s">
        <v>11</v>
      </c>
      <c r="C11" s="383" t="s">
        <v>1</v>
      </c>
      <c r="D11" s="368" t="s">
        <v>41</v>
      </c>
      <c r="E11" s="368" t="s">
        <v>20</v>
      </c>
      <c r="F11" s="385" t="s">
        <v>55</v>
      </c>
      <c r="G11" s="377" t="s">
        <v>49</v>
      </c>
      <c r="H11" s="235"/>
    </row>
    <row r="12" spans="1:8" ht="15.75" thickBot="1">
      <c r="A12" s="382"/>
      <c r="B12" s="384"/>
      <c r="C12" s="384"/>
      <c r="D12" s="369"/>
      <c r="E12" s="370"/>
      <c r="F12" s="386"/>
      <c r="G12" s="378"/>
      <c r="H12" s="235"/>
    </row>
    <row r="13" spans="1:8" s="17" customFormat="1">
      <c r="A13" s="148"/>
      <c r="B13" s="149"/>
      <c r="C13" s="150"/>
      <c r="D13" s="151"/>
      <c r="E13" s="152"/>
      <c r="F13" s="149"/>
      <c r="G13" s="152"/>
      <c r="H13" s="235"/>
    </row>
    <row r="14" spans="1:8" s="17" customFormat="1">
      <c r="A14" s="331"/>
      <c r="B14" s="44"/>
      <c r="C14" s="332"/>
      <c r="D14" s="329"/>
      <c r="E14" s="49"/>
      <c r="F14" s="44"/>
      <c r="G14" s="49"/>
      <c r="H14" s="235"/>
    </row>
    <row r="15" spans="1:8" s="17" customFormat="1">
      <c r="A15" s="153"/>
      <c r="B15" s="154"/>
      <c r="C15" s="151"/>
      <c r="D15" s="151"/>
      <c r="E15" s="155"/>
      <c r="F15" s="149"/>
      <c r="G15" s="156"/>
      <c r="H15" s="235"/>
    </row>
    <row r="16" spans="1:8" s="17" customFormat="1">
      <c r="A16" s="333"/>
      <c r="B16" s="334"/>
      <c r="C16" s="329"/>
      <c r="D16" s="329"/>
      <c r="E16" s="335"/>
      <c r="F16" s="44"/>
      <c r="G16" s="49"/>
      <c r="H16" s="235"/>
    </row>
    <row r="17" spans="1:28" s="17" customFormat="1">
      <c r="A17" s="153"/>
      <c r="B17" s="154"/>
      <c r="C17" s="151"/>
      <c r="D17" s="151"/>
      <c r="E17" s="155"/>
      <c r="F17" s="149"/>
      <c r="G17" s="156"/>
      <c r="H17" s="235"/>
    </row>
    <row r="18" spans="1:28" s="17" customFormat="1">
      <c r="A18" s="28"/>
      <c r="B18" s="23"/>
      <c r="C18" s="29"/>
      <c r="D18" s="29"/>
      <c r="E18" s="22"/>
      <c r="F18" s="44"/>
      <c r="G18" s="49"/>
      <c r="H18" s="235"/>
    </row>
    <row r="19" spans="1:28" s="17" customFormat="1">
      <c r="A19" s="153"/>
      <c r="B19" s="154"/>
      <c r="C19" s="151"/>
      <c r="D19" s="157"/>
      <c r="E19" s="155"/>
      <c r="F19" s="149"/>
      <c r="G19" s="156"/>
      <c r="H19" s="235"/>
    </row>
    <row r="20" spans="1:28" s="17" customFormat="1">
      <c r="A20" s="333"/>
      <c r="B20" s="334"/>
      <c r="C20" s="329"/>
      <c r="D20" s="328"/>
      <c r="E20" s="335"/>
      <c r="F20" s="44"/>
      <c r="G20" s="49"/>
      <c r="H20" s="235"/>
    </row>
    <row r="21" spans="1:28" s="17" customFormat="1">
      <c r="A21" s="153"/>
      <c r="B21" s="154"/>
      <c r="C21" s="151"/>
      <c r="D21" s="151"/>
      <c r="E21" s="155"/>
      <c r="F21" s="149"/>
      <c r="G21" s="156"/>
      <c r="H21" s="235"/>
    </row>
    <row r="22" spans="1:28" s="17" customFormat="1">
      <c r="A22" s="325"/>
      <c r="B22" s="25"/>
      <c r="C22" s="326"/>
      <c r="D22" s="29"/>
      <c r="E22" s="24"/>
      <c r="F22" s="44"/>
      <c r="G22" s="49"/>
      <c r="H22" s="235"/>
    </row>
    <row r="23" spans="1:28" s="17" customFormat="1">
      <c r="A23" s="318"/>
      <c r="B23" s="158"/>
      <c r="C23" s="157"/>
      <c r="D23" s="151"/>
      <c r="E23" s="159"/>
      <c r="F23" s="149"/>
      <c r="G23" s="156"/>
      <c r="H23" s="235"/>
    </row>
    <row r="24" spans="1:28" s="17" customFormat="1">
      <c r="A24" s="325"/>
      <c r="B24" s="25"/>
      <c r="C24" s="326"/>
      <c r="D24" s="29"/>
      <c r="E24" s="24"/>
      <c r="F24" s="44"/>
      <c r="G24" s="49"/>
      <c r="H24" s="235"/>
    </row>
    <row r="25" spans="1:28" s="17" customFormat="1">
      <c r="A25" s="318"/>
      <c r="B25" s="158"/>
      <c r="C25" s="157"/>
      <c r="D25" s="151"/>
      <c r="E25" s="159"/>
      <c r="F25" s="149"/>
      <c r="G25" s="156"/>
      <c r="H25" s="235"/>
    </row>
    <row r="26" spans="1:28" s="17" customFormat="1">
      <c r="A26" s="327"/>
      <c r="B26" s="27"/>
      <c r="C26" s="328"/>
      <c r="D26" s="329"/>
      <c r="E26" s="26"/>
      <c r="F26" s="44"/>
      <c r="G26" s="49"/>
      <c r="H26" s="235"/>
    </row>
    <row r="27" spans="1:28" s="17" customFormat="1" ht="15.75" thickBot="1">
      <c r="A27" s="318"/>
      <c r="B27" s="158"/>
      <c r="C27" s="157"/>
      <c r="D27" s="151"/>
      <c r="E27" s="159"/>
      <c r="F27" s="149"/>
      <c r="G27" s="156"/>
      <c r="H27" s="235"/>
    </row>
    <row r="28" spans="1:28" ht="21.75" customHeight="1" thickBot="1">
      <c r="A28" s="371" t="s">
        <v>30</v>
      </c>
      <c r="B28" s="372"/>
      <c r="C28" s="372"/>
      <c r="D28" s="373"/>
      <c r="E28" s="336">
        <f>SUM(E13:E27)</f>
        <v>0</v>
      </c>
      <c r="F28" s="379"/>
      <c r="G28" s="380"/>
      <c r="H28" s="236"/>
    </row>
    <row r="29" spans="1:28">
      <c r="A29" s="330"/>
      <c r="B29" s="330"/>
      <c r="C29" s="330"/>
      <c r="D29" s="330"/>
      <c r="E29" s="330"/>
      <c r="AB29" t="s">
        <v>191</v>
      </c>
    </row>
    <row r="30" spans="1:28">
      <c r="A30" s="330"/>
      <c r="B30" s="330"/>
      <c r="C30" s="330"/>
      <c r="D30" s="330"/>
      <c r="E30" s="330"/>
      <c r="AB30" t="s">
        <v>206</v>
      </c>
    </row>
    <row r="31" spans="1:28">
      <c r="AB31" t="s">
        <v>207</v>
      </c>
    </row>
    <row r="32" spans="1:28">
      <c r="AB32" t="s">
        <v>208</v>
      </c>
    </row>
    <row r="33" spans="28:28">
      <c r="AB33" t="s">
        <v>209</v>
      </c>
    </row>
    <row r="34" spans="28:28">
      <c r="AB34" t="s">
        <v>192</v>
      </c>
    </row>
    <row r="35" spans="28:28">
      <c r="AB35" t="s">
        <v>193</v>
      </c>
    </row>
    <row r="41" spans="28:28">
      <c r="AB41" t="s">
        <v>193</v>
      </c>
    </row>
  </sheetData>
  <dataConsolidate/>
  <mergeCells count="11">
    <mergeCell ref="B2:F2"/>
    <mergeCell ref="D11:D12"/>
    <mergeCell ref="E11:E12"/>
    <mergeCell ref="A28:D28"/>
    <mergeCell ref="A1:H1"/>
    <mergeCell ref="G11:G12"/>
    <mergeCell ref="F28:G28"/>
    <mergeCell ref="A11:A12"/>
    <mergeCell ref="B11:B12"/>
    <mergeCell ref="C11:C12"/>
    <mergeCell ref="F11:F12"/>
  </mergeCells>
  <conditionalFormatting sqref="E13:E27">
    <cfRule type="dataBar" priority="2">
      <dataBar>
        <cfvo type="num" val="0"/>
        <cfvo type="num" val="8"/>
        <color theme="3" tint="0.59999389629810485"/>
      </dataBar>
      <extLst>
        <ext xmlns:x14="http://schemas.microsoft.com/office/spreadsheetml/2009/9/main" uri="{B025F937-C7B1-47D3-B67F-A62EFF666E3E}">
          <x14:id>{D2384294-1066-4EFC-9DC4-7113D0131309}</x14:id>
        </ext>
      </extLst>
    </cfRule>
  </conditionalFormatting>
  <conditionalFormatting sqref="E28">
    <cfRule type="dataBar" priority="1">
      <dataBar>
        <cfvo type="num" val="0"/>
        <cfvo type="num" val="40"/>
        <color theme="5" tint="0.39997558519241921"/>
      </dataBar>
      <extLst>
        <ext xmlns:x14="http://schemas.microsoft.com/office/spreadsheetml/2009/9/main" uri="{B025F937-C7B1-47D3-B67F-A62EFF666E3E}">
          <x14:id>{81928D63-EA3B-4215-BCC5-7AD3825DC73D}</x14:id>
        </ext>
      </extLst>
    </cfRule>
  </conditionalFormatting>
  <dataValidations count="1">
    <dataValidation type="list" showInputMessage="1" showErrorMessage="1" sqref="B4">
      <formula1>",04/09/2017 - 04/15/2017,04/16/2017 - 04/22/2017,04/23/2017 - 04/29/2017,View Records For Previous Time Period Week,,,,,,"</formula1>
    </dataValidation>
  </dataValidation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5136" r:id="rId4" name="ApproveStatus">
          <controlPr defaultSize="0" disabled="1" autoLine="0" r:id="rId5">
            <anchor moveWithCells="1">
              <from>
                <xdr:col>3</xdr:col>
                <xdr:colOff>0</xdr:colOff>
                <xdr:row>7</xdr:row>
                <xdr:rowOff>85725</xdr:rowOff>
              </from>
              <to>
                <xdr:col>3</xdr:col>
                <xdr:colOff>828675</xdr:colOff>
                <xdr:row>9</xdr:row>
                <xdr:rowOff>28575</xdr:rowOff>
              </to>
            </anchor>
          </controlPr>
        </control>
      </mc:Choice>
      <mc:Fallback>
        <control shapeId="5136" r:id="rId4" name="ApproveStatus"/>
      </mc:Fallback>
    </mc:AlternateContent>
    <mc:AlternateContent xmlns:mc="http://schemas.openxmlformats.org/markup-compatibility/2006">
      <mc:Choice Requires="x14">
        <control shapeId="5131" r:id="rId6" name="CheckBox_Review">
          <controlPr defaultSize="0" autoLine="0" r:id="rId7">
            <anchor moveWithCells="1">
              <from>
                <xdr:col>1</xdr:col>
                <xdr:colOff>1771650</xdr:colOff>
                <xdr:row>6</xdr:row>
                <xdr:rowOff>104775</xdr:rowOff>
              </from>
              <to>
                <xdr:col>2</xdr:col>
                <xdr:colOff>152400</xdr:colOff>
                <xdr:row>8</xdr:row>
                <xdr:rowOff>104775</xdr:rowOff>
              </to>
            </anchor>
          </controlPr>
        </control>
      </mc:Choice>
      <mc:Fallback>
        <control shapeId="5131" r:id="rId6" name="CheckBox_Review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2384294-1066-4EFC-9DC4-7113D0131309}">
            <x14:dataBar minLength="0" maxLength="100">
              <x14:cfvo type="num">
                <xm:f>0</xm:f>
              </x14:cfvo>
              <x14:cfvo type="num">
                <xm:f>8</xm:f>
              </x14:cfvo>
              <x14:negativeFillColor rgb="FFFF0000"/>
              <x14:axisColor rgb="FF000000"/>
            </x14:dataBar>
          </x14:cfRule>
          <xm:sqref>E13:E27</xm:sqref>
        </x14:conditionalFormatting>
        <x14:conditionalFormatting xmlns:xm="http://schemas.microsoft.com/office/excel/2006/main">
          <x14:cfRule type="dataBar" id="{81928D63-EA3B-4215-BCC5-7AD3825DC73D}">
            <x14:dataBar minLength="0" maxLength="100">
              <x14:cfvo type="num">
                <xm:f>0</xm:f>
              </x14:cfvo>
              <x14:cfvo type="num">
                <xm:f>40</xm:f>
              </x14:cfvo>
              <x14:negativeFillColor rgb="FFFF0000"/>
              <x14:axisColor rgb="FF000000"/>
            </x14:dataBar>
          </x14:cfRule>
          <xm:sqref>E28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SubmitTimeEntry!$AN$3:$AN$4</xm:f>
          </x14:formula1>
          <xm:sqref>F13:F27</xm:sqref>
        </x14:dataValidation>
        <x14:dataValidation type="list" allowBlank="1" showInputMessage="1" showErrorMessage="1">
          <x14:formula1>
            <xm:f>SubmitTimeEntry!$AO$2:$AO$4</xm:f>
          </x14:formula1>
          <xm:sqref>G13:G27</xm:sqref>
        </x14:dataValidation>
        <x14:dataValidation type="list" showInputMessage="1" showErrorMessage="1">
          <x14:formula1>
            <xm:f>ResourceList!AP2:AP3</xm:f>
          </x14:formula1>
          <xm:sqref>E5</xm:sqref>
        </x14:dataValidation>
        <x14:dataValidation type="list" showInputMessage="1" showErrorMessage="1">
          <x14:formula1>
            <xm:f>ResourceList!AO2:AO13</xm:f>
          </x14:formula1>
          <xm:sqref>E6</xm:sqref>
        </x14:dataValidation>
        <x14:dataValidation type="list" showInputMessage="1" showErrorMessage="1">
          <x14:formula1>
            <xm:f>ResourceList!AB16:BF16</xm:f>
          </x14:formula1>
          <xm:sqref>E7</xm:sqref>
        </x14:dataValidation>
        <x14:dataValidation type="list" showInputMessage="1" showErrorMessage="1">
          <x14:formula1>
            <xm:f>SubmitTimeEntry!AN30:AN46</xm:f>
          </x14:formula1>
          <xm:sqref>B6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</sheetPr>
  <dimension ref="A1:AC17"/>
  <sheetViews>
    <sheetView showGridLines="0" showRowColHeaders="0" zoomScaleNormal="100" workbookViewId="0">
      <selection activeCell="B6" sqref="B6"/>
    </sheetView>
  </sheetViews>
  <sheetFormatPr defaultRowHeight="16.5"/>
  <cols>
    <col min="1" max="1" width="24.5703125" style="1" customWidth="1"/>
    <col min="2" max="2" width="28.42578125" style="34" bestFit="1" customWidth="1"/>
    <col min="3" max="3" width="65.28515625" style="1" bestFit="1" customWidth="1"/>
    <col min="4" max="4" width="6.7109375" style="33" bestFit="1" customWidth="1"/>
    <col min="5" max="5" width="7.28515625" style="33" bestFit="1" customWidth="1"/>
    <col min="6" max="6" width="7.42578125" style="33" bestFit="1" customWidth="1"/>
    <col min="7" max="7" width="10.140625" style="33" bestFit="1" customWidth="1"/>
    <col min="8" max="8" width="8.140625" style="33" bestFit="1" customWidth="1"/>
    <col min="9" max="9" width="5.7109375" style="33" bestFit="1" customWidth="1"/>
    <col min="10" max="10" width="8.28515625" style="33" customWidth="1"/>
    <col min="11" max="11" width="11.42578125" style="33" bestFit="1" customWidth="1"/>
    <col min="12" max="12" width="11.42578125" style="33" customWidth="1"/>
    <col min="13" max="13" width="10.42578125" style="33" bestFit="1" customWidth="1"/>
    <col min="14" max="27" width="9.140625" style="1"/>
    <col min="28" max="28" width="9.7109375" style="1" bestFit="1" customWidth="1"/>
    <col min="29" max="29" width="9.5703125" style="1" bestFit="1" customWidth="1"/>
    <col min="30" max="16384" width="9.140625" style="1"/>
  </cols>
  <sheetData>
    <row r="1" spans="1:29" ht="27" customHeight="1" thickBot="1">
      <c r="A1" s="387" t="s">
        <v>0</v>
      </c>
      <c r="B1" s="388"/>
      <c r="C1" s="388"/>
      <c r="D1" s="388"/>
      <c r="E1" s="388"/>
      <c r="F1" s="388"/>
      <c r="G1" s="388"/>
      <c r="H1" s="388"/>
      <c r="I1" s="388"/>
      <c r="J1" s="388"/>
      <c r="K1" s="388"/>
      <c r="L1" s="388"/>
      <c r="M1" s="389"/>
    </row>
    <row r="2" spans="1:29" ht="17.100000000000001" customHeight="1" thickBot="1">
      <c r="A2" s="164"/>
      <c r="B2" s="398" t="s">
        <v>139</v>
      </c>
      <c r="C2" s="399"/>
      <c r="D2" s="399"/>
      <c r="E2" s="399"/>
      <c r="F2" s="399"/>
      <c r="G2" s="399"/>
      <c r="H2" s="399"/>
      <c r="I2" s="399"/>
      <c r="J2" s="399"/>
      <c r="K2" s="400"/>
      <c r="L2" s="181"/>
      <c r="M2" s="181"/>
      <c r="AB2" s="342">
        <v>42739</v>
      </c>
    </row>
    <row r="3" spans="1:29" ht="17.25">
      <c r="A3" s="164"/>
      <c r="B3" s="169"/>
      <c r="C3" s="170"/>
      <c r="D3" s="180"/>
      <c r="E3" s="180"/>
      <c r="F3" s="180"/>
      <c r="G3" s="180"/>
      <c r="H3" s="180"/>
      <c r="I3" s="215"/>
      <c r="J3" s="215"/>
      <c r="K3" s="215"/>
      <c r="L3" s="215"/>
      <c r="M3" s="215"/>
      <c r="AB3" s="342">
        <v>42736</v>
      </c>
      <c r="AC3" s="342">
        <v>42742</v>
      </c>
    </row>
    <row r="4" spans="1:29" ht="17.100000000000001" customHeight="1">
      <c r="A4" s="164"/>
      <c r="B4" s="169"/>
      <c r="C4" s="171"/>
      <c r="D4" s="171"/>
      <c r="E4" s="171"/>
      <c r="F4" s="171"/>
      <c r="G4" s="171"/>
      <c r="H4" s="171"/>
      <c r="I4" s="216"/>
      <c r="J4" s="216"/>
      <c r="K4" s="215"/>
      <c r="L4" s="215"/>
      <c r="M4" s="215"/>
    </row>
    <row r="5" spans="1:29" s="2" customFormat="1" ht="15" customHeight="1" thickBot="1">
      <c r="A5" s="165"/>
      <c r="B5" s="172"/>
      <c r="C5" s="173"/>
      <c r="D5" s="182"/>
      <c r="E5" s="183"/>
      <c r="F5" s="181"/>
      <c r="G5" s="181"/>
      <c r="H5" s="182"/>
      <c r="I5" s="217"/>
      <c r="J5" s="217"/>
      <c r="K5" s="217"/>
      <c r="L5" s="217"/>
      <c r="M5" s="217"/>
    </row>
    <row r="6" spans="1:29" s="2" customFormat="1" ht="15" customHeight="1" thickBot="1">
      <c r="A6" s="166" t="s">
        <v>12</v>
      </c>
      <c r="B6" s="160"/>
      <c r="C6" s="175"/>
      <c r="D6" s="307"/>
      <c r="E6" s="183"/>
      <c r="F6" s="181"/>
      <c r="G6" s="185"/>
      <c r="H6" s="185"/>
      <c r="I6" s="217"/>
      <c r="J6" s="217"/>
      <c r="K6" s="217"/>
      <c r="L6" s="217"/>
      <c r="M6" s="217"/>
    </row>
    <row r="7" spans="1:29" s="2" customFormat="1" ht="15" customHeight="1">
      <c r="A7" s="165"/>
      <c r="B7" s="172"/>
      <c r="C7" s="174"/>
      <c r="D7" s="224"/>
      <c r="E7" s="224"/>
      <c r="F7" s="224"/>
      <c r="G7" s="182"/>
      <c r="H7" s="183"/>
      <c r="I7" s="217"/>
      <c r="J7" s="217"/>
      <c r="K7" s="217"/>
      <c r="L7" s="217"/>
      <c r="M7" s="218"/>
    </row>
    <row r="8" spans="1:29" s="2" customFormat="1" ht="15" customHeight="1" thickBot="1">
      <c r="A8" s="165"/>
      <c r="B8" s="172"/>
      <c r="C8" s="175"/>
      <c r="D8" s="308"/>
      <c r="E8" s="225"/>
      <c r="F8" s="226"/>
      <c r="G8" s="186"/>
      <c r="H8" s="182"/>
      <c r="I8" s="217"/>
      <c r="J8" s="219"/>
      <c r="K8" s="219"/>
      <c r="L8" s="220"/>
      <c r="M8" s="217"/>
    </row>
    <row r="9" spans="1:29" s="3" customFormat="1" ht="15" customHeight="1" thickBot="1">
      <c r="A9" s="166" t="s">
        <v>29</v>
      </c>
      <c r="B9" s="160"/>
      <c r="C9" s="228"/>
      <c r="D9" s="323"/>
      <c r="E9" s="319"/>
      <c r="F9" s="227"/>
      <c r="G9" s="187"/>
      <c r="H9" s="182"/>
      <c r="I9" s="221"/>
      <c r="J9" s="222"/>
      <c r="K9" s="222"/>
      <c r="L9" s="223"/>
      <c r="M9" s="221"/>
    </row>
    <row r="10" spans="1:29" s="3" customFormat="1" ht="15" customHeight="1" thickBot="1">
      <c r="A10" s="166"/>
      <c r="B10" s="176"/>
      <c r="C10" s="177"/>
      <c r="D10" s="187"/>
      <c r="E10" s="189"/>
      <c r="F10" s="190"/>
      <c r="G10" s="188"/>
      <c r="H10" s="182"/>
      <c r="I10" s="221"/>
      <c r="J10" s="222"/>
      <c r="K10" s="222"/>
      <c r="L10" s="223"/>
      <c r="M10" s="221"/>
    </row>
    <row r="11" spans="1:29" s="2" customFormat="1" ht="17.100000000000001" customHeight="1" thickBot="1">
      <c r="A11" s="167"/>
      <c r="B11" s="309"/>
      <c r="C11" s="175"/>
      <c r="D11" s="191"/>
      <c r="E11" s="189"/>
      <c r="F11" s="189"/>
      <c r="G11" s="183"/>
      <c r="H11" s="182"/>
      <c r="I11" s="183"/>
      <c r="J11" s="184"/>
      <c r="K11" s="183"/>
      <c r="L11" s="183"/>
      <c r="M11" s="183"/>
    </row>
    <row r="12" spans="1:29" s="2" customFormat="1" ht="14.1" customHeight="1" thickBot="1">
      <c r="A12" s="167"/>
      <c r="B12" s="176"/>
      <c r="C12" s="175"/>
      <c r="D12" s="186"/>
      <c r="E12" s="186"/>
      <c r="F12" s="186"/>
      <c r="G12" s="183"/>
      <c r="H12" s="183"/>
      <c r="I12" s="183"/>
      <c r="J12" s="184"/>
      <c r="K12" s="401" t="s">
        <v>70</v>
      </c>
      <c r="L12" s="402"/>
      <c r="M12" s="403"/>
    </row>
    <row r="13" spans="1:29" s="2" customFormat="1" ht="17.100000000000001" customHeight="1" thickBot="1">
      <c r="A13" s="167"/>
      <c r="B13" s="275"/>
      <c r="C13" s="175"/>
      <c r="D13" s="183"/>
      <c r="E13" s="183"/>
      <c r="F13" s="183"/>
      <c r="G13" s="183"/>
      <c r="H13" s="183"/>
      <c r="I13" s="183"/>
      <c r="J13" s="184"/>
      <c r="K13" s="161" t="s">
        <v>20</v>
      </c>
      <c r="L13" s="162" t="s">
        <v>57</v>
      </c>
      <c r="M13" s="163" t="s">
        <v>56</v>
      </c>
    </row>
    <row r="14" spans="1:29" s="2" customFormat="1" ht="17.100000000000001" customHeight="1" thickBot="1">
      <c r="A14" s="168"/>
      <c r="B14" s="178"/>
      <c r="C14" s="179"/>
      <c r="D14" s="192"/>
      <c r="E14" s="192"/>
      <c r="F14" s="192"/>
      <c r="G14" s="192"/>
      <c r="H14" s="192"/>
      <c r="I14" s="192"/>
      <c r="J14" s="193"/>
      <c r="K14" s="35"/>
      <c r="L14" s="37"/>
      <c r="M14" s="36"/>
    </row>
    <row r="15" spans="1:29" s="2" customFormat="1" ht="14.1" customHeight="1">
      <c r="A15" s="394" t="s">
        <v>15</v>
      </c>
      <c r="B15" s="396" t="s">
        <v>11</v>
      </c>
      <c r="C15" s="394" t="s">
        <v>1</v>
      </c>
      <c r="D15" s="315" t="s">
        <v>31</v>
      </c>
      <c r="E15" s="315" t="s">
        <v>32</v>
      </c>
      <c r="F15" s="315" t="s">
        <v>33</v>
      </c>
      <c r="G15" s="315" t="s">
        <v>34</v>
      </c>
      <c r="H15" s="315" t="s">
        <v>35</v>
      </c>
      <c r="I15" s="315" t="s">
        <v>36</v>
      </c>
      <c r="J15" s="316" t="s">
        <v>37</v>
      </c>
      <c r="K15" s="392" t="s">
        <v>30</v>
      </c>
      <c r="L15" s="390" t="s">
        <v>57</v>
      </c>
      <c r="M15" s="390" t="s">
        <v>56</v>
      </c>
    </row>
    <row r="16" spans="1:29" ht="14.1" customHeight="1">
      <c r="A16" s="395"/>
      <c r="B16" s="397"/>
      <c r="C16" s="395"/>
      <c r="D16" s="317"/>
      <c r="E16" s="317"/>
      <c r="F16" s="317"/>
      <c r="G16" s="317"/>
      <c r="H16" s="317"/>
      <c r="I16" s="317"/>
      <c r="J16" s="317"/>
      <c r="K16" s="393"/>
      <c r="L16" s="391"/>
      <c r="M16" s="391"/>
    </row>
    <row r="17" spans="2:13">
      <c r="B17" s="1"/>
      <c r="D17" s="1"/>
      <c r="E17" s="1"/>
      <c r="F17" s="1"/>
      <c r="G17" s="1"/>
      <c r="H17" s="1"/>
      <c r="I17" s="1"/>
      <c r="J17" s="1"/>
      <c r="K17" s="1"/>
      <c r="L17" s="1"/>
      <c r="M17" s="1"/>
    </row>
  </sheetData>
  <customSheetViews>
    <customSheetView guid="{C002DE34-9017-4B24-BEC0-B3132A326B4B}" showGridLines="0" state="hidden">
      <selection activeCell="G10" sqref="G10"/>
      <pageMargins left="0.7" right="0.7" top="0.75" bottom="0.75" header="0.3" footer="0.3"/>
      <pageSetup orientation="portrait" r:id="rId1"/>
    </customSheetView>
  </customSheetViews>
  <mergeCells count="9">
    <mergeCell ref="A1:M1"/>
    <mergeCell ref="L15:L16"/>
    <mergeCell ref="M15:M16"/>
    <mergeCell ref="K15:K16"/>
    <mergeCell ref="A15:A16"/>
    <mergeCell ref="B15:B16"/>
    <mergeCell ref="C15:C16"/>
    <mergeCell ref="B2:K2"/>
    <mergeCell ref="K12:M12"/>
  </mergeCells>
  <dataValidations count="3">
    <dataValidation showInputMessage="1" showErrorMessage="1" sqref="B10"/>
    <dataValidation type="list" showInputMessage="1" showErrorMessage="1" sqref="B6">
      <formula1>",Show Submitted Time Records,,,,,,,"</formula1>
    </dataValidation>
    <dataValidation type="list" showInputMessage="1" showErrorMessage="1" sqref="B9">
      <formula1>",04/09/2017 - 04/15/2017,04/16/2017 - 04/22/2017,04/23/2017 - 04/29/2017,View Records For Previous Time Period Week,,,,,,"</formula1>
    </dataValidation>
  </dataValidation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6403" r:id="rId5" name="Show_NonBenched_Resources">
          <controlPr defaultSize="0" autoLine="0" r:id="rId6">
            <anchor moveWithCells="1">
              <from>
                <xdr:col>2</xdr:col>
                <xdr:colOff>0</xdr:colOff>
                <xdr:row>10</xdr:row>
                <xdr:rowOff>19050</xdr:rowOff>
              </from>
              <to>
                <xdr:col>2</xdr:col>
                <xdr:colOff>2505075</xdr:colOff>
                <xdr:row>11</xdr:row>
                <xdr:rowOff>47625</xdr:rowOff>
              </to>
            </anchor>
          </controlPr>
        </control>
      </mc:Choice>
      <mc:Fallback>
        <control shapeId="16403" r:id="rId5" name="Show_NonBenched_Resources"/>
      </mc:Fallback>
    </mc:AlternateContent>
    <mc:AlternateContent xmlns:mc="http://schemas.openxmlformats.org/markup-compatibility/2006">
      <mc:Choice Requires="x14">
        <control shapeId="16401" r:id="rId7" name="Update_App_Status">
          <controlPr defaultSize="0" disabled="1" autoLine="0" r:id="rId8">
            <anchor moveWithCells="1">
              <from>
                <xdr:col>0</xdr:col>
                <xdr:colOff>1476375</xdr:colOff>
                <xdr:row>11</xdr:row>
                <xdr:rowOff>133350</xdr:rowOff>
              </from>
              <to>
                <xdr:col>1</xdr:col>
                <xdr:colOff>1724025</xdr:colOff>
                <xdr:row>13</xdr:row>
                <xdr:rowOff>19050</xdr:rowOff>
              </to>
            </anchor>
          </controlPr>
        </control>
      </mc:Choice>
      <mc:Fallback>
        <control shapeId="16401" r:id="rId7" name="Update_App_Status"/>
      </mc:Fallback>
    </mc:AlternateContent>
    <mc:AlternateContent xmlns:mc="http://schemas.openxmlformats.org/markup-compatibility/2006">
      <mc:Choice Requires="x14">
        <control shapeId="16399" r:id="rId9" name="Copydatabase_utility">
          <controlPr defaultSize="0" autoLine="0" r:id="rId10">
            <anchor moveWithCells="1">
              <from>
                <xdr:col>10</xdr:col>
                <xdr:colOff>171450</xdr:colOff>
                <xdr:row>9</xdr:row>
                <xdr:rowOff>114300</xdr:rowOff>
              </from>
              <to>
                <xdr:col>12</xdr:col>
                <xdr:colOff>371475</xdr:colOff>
                <xdr:row>10</xdr:row>
                <xdr:rowOff>123825</xdr:rowOff>
              </to>
            </anchor>
          </controlPr>
        </control>
      </mc:Choice>
      <mc:Fallback>
        <control shapeId="16399" r:id="rId9" name="Copydatabase_utility"/>
      </mc:Fallback>
    </mc:AlternateContent>
    <mc:AlternateContent xmlns:mc="http://schemas.openxmlformats.org/markup-compatibility/2006">
      <mc:Choice Requires="x14">
        <control shapeId="16390" r:id="rId11" name="Show_Benched_Resources">
          <controlPr defaultSize="0" disabled="1" autoLine="0" r:id="rId12">
            <anchor moveWithCells="1">
              <from>
                <xdr:col>0</xdr:col>
                <xdr:colOff>1485900</xdr:colOff>
                <xdr:row>10</xdr:row>
                <xdr:rowOff>9525</xdr:rowOff>
              </from>
              <to>
                <xdr:col>1</xdr:col>
                <xdr:colOff>1800225</xdr:colOff>
                <xdr:row>11</xdr:row>
                <xdr:rowOff>9525</xdr:rowOff>
              </to>
            </anchor>
          </controlPr>
        </control>
      </mc:Choice>
      <mc:Fallback>
        <control shapeId="16390" r:id="rId11" name="Show_Benched_Resources"/>
      </mc:Fallback>
    </mc:AlternateContent>
    <mc:AlternateContent xmlns:mc="http://schemas.openxmlformats.org/markup-compatibility/2006">
      <mc:Choice Requires="x14">
        <control shapeId="16408" r:id="rId13" name="TempAuthorization">
          <controlPr defaultSize="0" autoLine="0" r:id="rId14">
            <anchor moveWithCells="1">
              <from>
                <xdr:col>2</xdr:col>
                <xdr:colOff>276225</xdr:colOff>
                <xdr:row>9</xdr:row>
                <xdr:rowOff>19050</xdr:rowOff>
              </from>
              <to>
                <xdr:col>2</xdr:col>
                <xdr:colOff>1676400</xdr:colOff>
                <xdr:row>10</xdr:row>
                <xdr:rowOff>95250</xdr:rowOff>
              </to>
            </anchor>
          </controlPr>
        </control>
      </mc:Choice>
      <mc:Fallback>
        <control shapeId="16408" r:id="rId13" name="TempAuthorization"/>
      </mc:Fallback>
    </mc:AlternateContent>
    <mc:AlternateContent xmlns:mc="http://schemas.openxmlformats.org/markup-compatibility/2006">
      <mc:Choice Requires="x14">
        <control shapeId="16410" r:id="rId15" name="Label1">
          <controlPr defaultSize="0" autoLine="0" r:id="rId16">
            <anchor moveWithCells="1">
              <from>
                <xdr:col>1</xdr:col>
                <xdr:colOff>666750</xdr:colOff>
                <xdr:row>11</xdr:row>
                <xdr:rowOff>85725</xdr:rowOff>
              </from>
              <to>
                <xdr:col>2</xdr:col>
                <xdr:colOff>190500</xdr:colOff>
                <xdr:row>12</xdr:row>
                <xdr:rowOff>104775</xdr:rowOff>
              </to>
            </anchor>
          </controlPr>
        </control>
      </mc:Choice>
      <mc:Fallback>
        <control shapeId="16410" r:id="rId15" name="Labe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-0.249977111117893"/>
  </sheetPr>
  <dimension ref="A1:H12"/>
  <sheetViews>
    <sheetView showGridLines="0" zoomScaleNormal="100" workbookViewId="0">
      <selection activeCell="C7" sqref="C7"/>
    </sheetView>
  </sheetViews>
  <sheetFormatPr defaultColWidth="23.5703125" defaultRowHeight="15"/>
  <cols>
    <col min="1" max="1" width="23" style="56" customWidth="1"/>
    <col min="2" max="2" width="15" style="57" bestFit="1" customWidth="1"/>
    <col min="3" max="3" width="44.28515625" style="57" bestFit="1" customWidth="1"/>
    <col min="4" max="4" width="9.28515625" style="57" bestFit="1" customWidth="1"/>
    <col min="5" max="5" width="13.5703125" style="56" bestFit="1" customWidth="1"/>
    <col min="6" max="6" width="15.5703125" style="56" bestFit="1" customWidth="1"/>
    <col min="7" max="7" width="39.85546875" customWidth="1"/>
  </cols>
  <sheetData>
    <row r="1" spans="1:8" ht="27" customHeight="1" thickBot="1">
      <c r="A1" s="404" t="s">
        <v>0</v>
      </c>
      <c r="B1" s="405"/>
      <c r="C1" s="405"/>
      <c r="D1" s="405"/>
      <c r="E1" s="405"/>
      <c r="F1" s="405"/>
      <c r="G1" s="405"/>
      <c r="H1" s="406"/>
    </row>
    <row r="2" spans="1:8" ht="16.5" customHeight="1" thickBot="1">
      <c r="A2" s="194"/>
      <c r="B2" s="365" t="s">
        <v>189</v>
      </c>
      <c r="C2" s="366"/>
      <c r="D2" s="366"/>
      <c r="E2" s="367"/>
      <c r="F2" s="301"/>
      <c r="G2" s="212"/>
      <c r="H2" s="235"/>
    </row>
    <row r="3" spans="1:8">
      <c r="A3" s="194"/>
      <c r="B3" s="195"/>
      <c r="C3" s="195"/>
      <c r="D3" s="195"/>
      <c r="E3" s="206"/>
      <c r="F3" s="206"/>
      <c r="G3" s="212"/>
      <c r="H3" s="235"/>
    </row>
    <row r="4" spans="1:8" ht="15.75" thickBot="1">
      <c r="A4" s="298"/>
      <c r="B4" s="197"/>
      <c r="C4" s="197"/>
      <c r="D4" s="197"/>
      <c r="E4" s="207"/>
      <c r="F4" s="207"/>
      <c r="G4" s="212"/>
      <c r="H4" s="235"/>
    </row>
    <row r="5" spans="1:8" ht="15.75" thickBot="1">
      <c r="A5" s="196"/>
      <c r="B5" s="198" t="s">
        <v>12</v>
      </c>
      <c r="C5" s="134"/>
      <c r="D5" s="197"/>
      <c r="E5" s="207"/>
      <c r="F5" s="207"/>
      <c r="G5" s="212"/>
      <c r="H5" s="235"/>
    </row>
    <row r="6" spans="1:8" ht="15.75" thickBot="1">
      <c r="A6" s="196"/>
      <c r="B6" s="197"/>
      <c r="C6" s="197"/>
      <c r="D6" s="197"/>
      <c r="E6" s="207"/>
      <c r="F6" s="207"/>
      <c r="G6" s="212"/>
      <c r="H6" s="235"/>
    </row>
    <row r="7" spans="1:8" ht="15.75" thickBot="1">
      <c r="A7" s="196"/>
      <c r="B7" s="348" t="s">
        <v>132</v>
      </c>
      <c r="C7" s="297"/>
      <c r="D7" s="349"/>
      <c r="E7" s="207"/>
      <c r="F7" s="207"/>
      <c r="G7" s="212"/>
      <c r="H7" s="235"/>
    </row>
    <row r="8" spans="1:8">
      <c r="A8" s="196"/>
      <c r="B8" s="203"/>
      <c r="C8" s="197"/>
      <c r="D8" s="197"/>
      <c r="E8" s="207"/>
      <c r="F8" s="207"/>
      <c r="G8" s="212"/>
      <c r="H8" s="235"/>
    </row>
    <row r="9" spans="1:8">
      <c r="A9" s="200"/>
      <c r="B9" s="203"/>
      <c r="C9" s="197"/>
      <c r="D9" s="197"/>
      <c r="E9" s="207"/>
      <c r="F9" s="207"/>
      <c r="G9" s="212"/>
      <c r="H9" s="235"/>
    </row>
    <row r="10" spans="1:8">
      <c r="A10" s="202"/>
      <c r="B10" s="203"/>
      <c r="C10" s="197"/>
      <c r="D10" s="197"/>
      <c r="E10" s="207"/>
      <c r="F10" s="207"/>
      <c r="G10" s="212"/>
      <c r="H10" s="235"/>
    </row>
    <row r="11" spans="1:8" ht="15.75" thickBot="1">
      <c r="A11" s="204"/>
      <c r="B11" s="299"/>
      <c r="C11" s="210"/>
      <c r="D11" s="210"/>
      <c r="E11" s="211"/>
      <c r="F11" s="211"/>
      <c r="G11" s="300"/>
      <c r="H11" s="236"/>
    </row>
    <row r="12" spans="1:8" ht="29.25" customHeight="1">
      <c r="A12" s="351" t="s">
        <v>205</v>
      </c>
      <c r="G12" s="350"/>
      <c r="H12" s="350"/>
    </row>
  </sheetData>
  <customSheetViews>
    <customSheetView guid="{C002DE34-9017-4B24-BEC0-B3132A326B4B}" showGridLines="0" state="hidden">
      <selection activeCell="B20" sqref="B20"/>
      <pageMargins left="0.7" right="0.7" top="0.75" bottom="0.75" header="0.3" footer="0.3"/>
      <pageSetup orientation="portrait" r:id="rId1"/>
    </customSheetView>
  </customSheetViews>
  <mergeCells count="2">
    <mergeCell ref="B2:E2"/>
    <mergeCell ref="A1:H1"/>
  </mergeCells>
  <dataValidations count="1">
    <dataValidation showInputMessage="1" showErrorMessage="1" sqref="C11:H11"/>
  </dataValidation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3334" r:id="rId5" name="Update">
          <controlPr defaultSize="0" disabled="1" autoLine="0" r:id="rId6">
            <anchor moveWithCells="1">
              <from>
                <xdr:col>2</xdr:col>
                <xdr:colOff>676275</xdr:colOff>
                <xdr:row>8</xdr:row>
                <xdr:rowOff>28575</xdr:rowOff>
              </from>
              <to>
                <xdr:col>2</xdr:col>
                <xdr:colOff>2314575</xdr:colOff>
                <xdr:row>9</xdr:row>
                <xdr:rowOff>133350</xdr:rowOff>
              </to>
            </anchor>
          </controlPr>
        </control>
      </mc:Choice>
      <mc:Fallback>
        <control shapeId="13334" r:id="rId5" name="Update"/>
      </mc:Fallback>
    </mc:AlternateContent>
    <mc:AlternateContent xmlns:mc="http://schemas.openxmlformats.org/markup-compatibility/2006">
      <mc:Choice Requires="x14">
        <control shapeId="13326" r:id="rId7" name="View_Active">
          <controlPr defaultSize="0" disabled="1" autoLine="0" r:id="rId8">
            <anchor moveWithCells="1">
              <from>
                <xdr:col>4</xdr:col>
                <xdr:colOff>0</xdr:colOff>
                <xdr:row>3</xdr:row>
                <xdr:rowOff>85725</xdr:rowOff>
              </from>
              <to>
                <xdr:col>5</xdr:col>
                <xdr:colOff>733425</xdr:colOff>
                <xdr:row>4</xdr:row>
                <xdr:rowOff>104775</xdr:rowOff>
              </to>
            </anchor>
          </controlPr>
        </control>
      </mc:Choice>
      <mc:Fallback>
        <control shapeId="13326" r:id="rId7" name="View_Active"/>
      </mc:Fallback>
    </mc:AlternateContent>
    <mc:AlternateContent xmlns:mc="http://schemas.openxmlformats.org/markup-compatibility/2006">
      <mc:Choice Requires="x14">
        <control shapeId="13327" r:id="rId9" name="View_Inactive">
          <controlPr defaultSize="0" disabled="1" autoLine="0" r:id="rId10">
            <anchor moveWithCells="1">
              <from>
                <xdr:col>4</xdr:col>
                <xdr:colOff>0</xdr:colOff>
                <xdr:row>4</xdr:row>
                <xdr:rowOff>76200</xdr:rowOff>
              </from>
              <to>
                <xdr:col>5</xdr:col>
                <xdr:colOff>733425</xdr:colOff>
                <xdr:row>5</xdr:row>
                <xdr:rowOff>76200</xdr:rowOff>
              </to>
            </anchor>
          </controlPr>
        </control>
      </mc:Choice>
      <mc:Fallback>
        <control shapeId="13327" r:id="rId9" name="View_Inactive"/>
      </mc:Fallback>
    </mc:AlternateContent>
    <mc:AlternateContent xmlns:mc="http://schemas.openxmlformats.org/markup-compatibility/2006">
      <mc:Choice Requires="x14">
        <control shapeId="13329" r:id="rId11" name="View_Active_Bench">
          <controlPr defaultSize="0" disabled="1" autoLine="0" r:id="rId12">
            <anchor moveWithCells="1">
              <from>
                <xdr:col>4</xdr:col>
                <xdr:colOff>0</xdr:colOff>
                <xdr:row>5</xdr:row>
                <xdr:rowOff>76200</xdr:rowOff>
              </from>
              <to>
                <xdr:col>6</xdr:col>
                <xdr:colOff>123825</xdr:colOff>
                <xdr:row>6</xdr:row>
                <xdr:rowOff>95250</xdr:rowOff>
              </to>
            </anchor>
          </controlPr>
        </control>
      </mc:Choice>
      <mc:Fallback>
        <control shapeId="13329" r:id="rId11" name="View_Active_Bench"/>
      </mc:Fallback>
    </mc:AlternateContent>
    <mc:AlternateContent xmlns:mc="http://schemas.openxmlformats.org/markup-compatibility/2006">
      <mc:Choice Requires="x14">
        <control shapeId="13330" r:id="rId13" name="View_Inactive_Bench">
          <controlPr defaultSize="0" disabled="1" autoLine="0" r:id="rId14">
            <anchor moveWithCells="1">
              <from>
                <xdr:col>4</xdr:col>
                <xdr:colOff>0</xdr:colOff>
                <xdr:row>6</xdr:row>
                <xdr:rowOff>76200</xdr:rowOff>
              </from>
              <to>
                <xdr:col>6</xdr:col>
                <xdr:colOff>209550</xdr:colOff>
                <xdr:row>7</xdr:row>
                <xdr:rowOff>95250</xdr:rowOff>
              </to>
            </anchor>
          </controlPr>
        </control>
      </mc:Choice>
      <mc:Fallback>
        <control shapeId="13330" r:id="rId13" name="View_Inactive_Bench"/>
      </mc:Fallback>
    </mc:AlternateContent>
    <mc:AlternateContent xmlns:mc="http://schemas.openxmlformats.org/markup-compatibility/2006">
      <mc:Choice Requires="x14">
        <control shapeId="13336" r:id="rId15" name="TempCombo1">
          <controlPr defaultSize="0" autoLine="0" r:id="rId16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304800</xdr:rowOff>
              </to>
            </anchor>
          </controlPr>
        </control>
      </mc:Choice>
      <mc:Fallback>
        <control shapeId="13336" r:id="rId15" name="TempCombo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>
          <x14:formula1>
            <xm:f>SubmitTimeEntry!AP18:AP19</xm:f>
          </x14:formula1>
          <xm:sqref>D10</xm:sqref>
        </x14:dataValidation>
        <x14:dataValidation type="list" showInputMessage="1" showErrorMessage="1">
          <x14:formula1>
            <xm:f>SubmitTimeEntry!AR16:AR20</xm:f>
          </x14:formula1>
          <xm:sqref>E10</xm:sqref>
        </x14:dataValidation>
        <x14:dataValidation type="list" showInputMessage="1" showErrorMessage="1">
          <x14:formula1>
            <xm:f>SubmitTimeEntry!AN29:AN46</xm:f>
          </x14:formula1>
          <xm:sqref>C7</xm:sqref>
        </x14:dataValidation>
        <x14:dataValidation type="list" showInputMessage="1" showErrorMessage="1">
          <x14:formula1>
            <xm:f>SubmitTimeEntry!AR12:AR14</xm:f>
          </x14:formula1>
          <xm:sqref>C5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C000"/>
  </sheetPr>
  <dimension ref="A1:J13"/>
  <sheetViews>
    <sheetView showGridLines="0" showRowColHeaders="0" zoomScaleNormal="100" workbookViewId="0">
      <selection activeCell="F7" sqref="F7"/>
    </sheetView>
  </sheetViews>
  <sheetFormatPr defaultRowHeight="15"/>
  <cols>
    <col min="1" max="1" width="12" style="19" bestFit="1" customWidth="1"/>
    <col min="2" max="2" width="13.85546875" style="20" customWidth="1"/>
    <col min="3" max="3" width="19.140625" style="20" bestFit="1" customWidth="1"/>
    <col min="4" max="4" width="11.85546875" style="20" bestFit="1" customWidth="1"/>
    <col min="5" max="5" width="19.42578125" style="21" bestFit="1" customWidth="1"/>
    <col min="6" max="6" width="65.28515625" style="19" bestFit="1" customWidth="1"/>
    <col min="7" max="7" width="38.28515625" style="19" bestFit="1" customWidth="1"/>
    <col min="8" max="8" width="11.140625" style="19" bestFit="1" customWidth="1"/>
    <col min="9" max="9" width="7.28515625" style="21" bestFit="1" customWidth="1"/>
    <col min="10" max="10" width="19.140625" style="19" bestFit="1" customWidth="1"/>
  </cols>
  <sheetData>
    <row r="1" spans="1:10" ht="24.75" thickBot="1">
      <c r="A1" s="407" t="s">
        <v>0</v>
      </c>
      <c r="B1" s="408"/>
      <c r="C1" s="408"/>
      <c r="D1" s="408"/>
      <c r="E1" s="408"/>
      <c r="F1" s="408"/>
      <c r="G1" s="408"/>
      <c r="H1" s="408"/>
      <c r="I1" s="408"/>
      <c r="J1" s="409"/>
    </row>
    <row r="2" spans="1:10" ht="18" thickBot="1">
      <c r="A2" s="135"/>
      <c r="B2" s="241"/>
      <c r="C2" s="365" t="s">
        <v>58</v>
      </c>
      <c r="D2" s="366"/>
      <c r="E2" s="366"/>
      <c r="F2" s="366"/>
      <c r="G2" s="367"/>
      <c r="H2" s="140"/>
      <c r="I2" s="249"/>
      <c r="J2" s="253"/>
    </row>
    <row r="3" spans="1:10" ht="17.25">
      <c r="A3" s="135"/>
      <c r="B3" s="241"/>
      <c r="C3" s="246"/>
      <c r="D3" s="247"/>
      <c r="E3" s="248"/>
      <c r="F3" s="248"/>
      <c r="G3" s="248"/>
      <c r="H3" s="249"/>
      <c r="I3" s="249"/>
      <c r="J3" s="253"/>
    </row>
    <row r="4" spans="1:10" ht="16.5">
      <c r="A4" s="135"/>
      <c r="B4" s="241"/>
      <c r="C4" s="241"/>
      <c r="D4" s="250"/>
      <c r="E4" s="251"/>
      <c r="F4" s="137"/>
      <c r="G4" s="137"/>
      <c r="H4" s="250"/>
      <c r="I4" s="252"/>
      <c r="J4" s="253"/>
    </row>
    <row r="5" spans="1:10" ht="16.5">
      <c r="A5" s="135"/>
      <c r="B5" s="242"/>
      <c r="C5" s="245"/>
      <c r="D5" s="241"/>
      <c r="E5" s="254"/>
      <c r="F5" s="140"/>
      <c r="G5" s="140"/>
      <c r="H5" s="140"/>
      <c r="I5" s="254"/>
      <c r="J5" s="253"/>
    </row>
    <row r="6" spans="1:10" ht="15.75" thickBot="1">
      <c r="A6" s="243"/>
      <c r="B6" s="242"/>
      <c r="C6" s="245"/>
      <c r="D6" s="242"/>
      <c r="E6" s="252"/>
      <c r="F6" s="137"/>
      <c r="G6" s="257"/>
      <c r="H6" s="258"/>
      <c r="I6" s="259"/>
      <c r="J6" s="253"/>
    </row>
    <row r="7" spans="1:10" ht="13.5" customHeight="1" thickBot="1">
      <c r="A7" s="244"/>
      <c r="B7" s="242"/>
      <c r="C7" s="245"/>
      <c r="D7" s="245"/>
      <c r="E7" s="198" t="s">
        <v>29</v>
      </c>
      <c r="F7" s="134"/>
      <c r="G7" s="260"/>
      <c r="H7" s="233"/>
      <c r="I7" s="261"/>
      <c r="J7" s="255"/>
    </row>
    <row r="8" spans="1:10" ht="15.75" thickBot="1">
      <c r="A8" s="244"/>
      <c r="B8" s="245"/>
      <c r="C8" s="245"/>
      <c r="D8" s="245"/>
      <c r="E8" s="256"/>
      <c r="F8" s="136"/>
      <c r="G8" s="260"/>
      <c r="H8" s="233"/>
      <c r="I8" s="262"/>
      <c r="J8" s="255"/>
    </row>
    <row r="9" spans="1:10" ht="13.5" customHeight="1" thickBot="1">
      <c r="A9" s="244"/>
      <c r="B9" s="245"/>
      <c r="C9" s="245"/>
      <c r="D9" s="245"/>
      <c r="E9" s="198" t="s">
        <v>59</v>
      </c>
      <c r="F9" s="134"/>
      <c r="G9" s="260"/>
      <c r="H9" s="233"/>
      <c r="I9" s="262"/>
      <c r="J9" s="255"/>
    </row>
    <row r="10" spans="1:10">
      <c r="A10" s="244"/>
      <c r="B10" s="245"/>
      <c r="C10" s="245"/>
      <c r="D10" s="245"/>
      <c r="E10" s="256"/>
      <c r="F10" s="245"/>
      <c r="G10" s="136"/>
      <c r="H10" s="136"/>
      <c r="I10" s="256"/>
      <c r="J10" s="253"/>
    </row>
    <row r="11" spans="1:10" ht="15.75" thickBot="1">
      <c r="A11" s="244"/>
      <c r="B11" s="245"/>
      <c r="C11" s="245"/>
      <c r="D11" s="245"/>
      <c r="E11" s="256"/>
      <c r="F11" s="136"/>
      <c r="G11" s="136"/>
      <c r="H11" s="136"/>
      <c r="I11" s="256"/>
      <c r="J11" s="253"/>
    </row>
    <row r="12" spans="1:10" ht="23.25" customHeight="1" thickBot="1">
      <c r="A12" s="237" t="s">
        <v>16</v>
      </c>
      <c r="B12" s="238" t="s">
        <v>42</v>
      </c>
      <c r="C12" s="239" t="s">
        <v>15</v>
      </c>
      <c r="D12" s="238" t="s">
        <v>17</v>
      </c>
      <c r="E12" s="239" t="s">
        <v>11</v>
      </c>
      <c r="F12" s="238" t="s">
        <v>1</v>
      </c>
      <c r="G12" s="239" t="s">
        <v>18</v>
      </c>
      <c r="H12" s="238" t="s">
        <v>19</v>
      </c>
      <c r="I12" s="240" t="s">
        <v>20</v>
      </c>
      <c r="J12" s="240" t="s">
        <v>114</v>
      </c>
    </row>
    <row r="13" spans="1:10">
      <c r="A13"/>
      <c r="B13"/>
      <c r="C13"/>
      <c r="D13"/>
      <c r="E13"/>
      <c r="F13"/>
      <c r="G13"/>
      <c r="H13"/>
      <c r="I13"/>
      <c r="J13"/>
    </row>
  </sheetData>
  <customSheetViews>
    <customSheetView guid="{C002DE34-9017-4B24-BEC0-B3132A326B4B}" showGridLines="0" state="hidden">
      <selection activeCell="B15" sqref="B15"/>
      <pageMargins left="0.7" right="0.7" top="0.75" bottom="0.75" header="0.3" footer="0.3"/>
      <pageSetup orientation="portrait" verticalDpi="0" r:id="rId1"/>
    </customSheetView>
  </customSheetViews>
  <mergeCells count="2">
    <mergeCell ref="C2:G2"/>
    <mergeCell ref="A1:J1"/>
  </mergeCells>
  <dataValidations count="1">
    <dataValidation type="list" showInputMessage="1" showErrorMessage="1" sqref="F7">
      <formula1>",04/09/2017 - 04/15/2017,04/16/2017 - 04/22/2017,04/23/2017 - 04/29/2017,View Records For Previous Time Period Week,Select Custom Time Period,"</formula1>
    </dataValidation>
  </dataValidation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110" r:id="rId5" name="MailExportSheet">
          <controlPr defaultSize="0" disabled="1" autoLine="0" r:id="rId6">
            <anchor moveWithCells="1">
              <from>
                <xdr:col>0</xdr:col>
                <xdr:colOff>523875</xdr:colOff>
                <xdr:row>9</xdr:row>
                <xdr:rowOff>9525</xdr:rowOff>
              </from>
              <to>
                <xdr:col>1</xdr:col>
                <xdr:colOff>904875</xdr:colOff>
                <xdr:row>10</xdr:row>
                <xdr:rowOff>95250</xdr:rowOff>
              </to>
            </anchor>
          </controlPr>
        </control>
      </mc:Choice>
      <mc:Fallback>
        <control shapeId="4110" r:id="rId5" name="MailExportSheet"/>
      </mc:Fallback>
    </mc:AlternateContent>
    <mc:AlternateContent xmlns:mc="http://schemas.openxmlformats.org/markup-compatibility/2006">
      <mc:Choice Requires="x14">
        <control shapeId="4109" r:id="rId7" name="Button 13">
          <controlPr defaultSize="0" print="0" autoFill="0" autoPict="0" macro="[0]!Sheet8.TimePeriod_DropdownListMonth">
            <anchor moveWithCells="1" sizeWithCells="1">
              <from>
                <xdr:col>2</xdr:col>
                <xdr:colOff>314325</xdr:colOff>
                <xdr:row>9</xdr:row>
                <xdr:rowOff>9525</xdr:rowOff>
              </from>
              <to>
                <xdr:col>3</xdr:col>
                <xdr:colOff>0</xdr:colOff>
                <xdr:row>10</xdr:row>
                <xdr:rowOff>85725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0066"/>
  </sheetPr>
  <dimension ref="A1:H16"/>
  <sheetViews>
    <sheetView showGridLines="0" showRowColHeaders="0" zoomScaleNormal="100" workbookViewId="0">
      <pane ySplit="15" topLeftCell="A16" activePane="bottomLeft" state="frozen"/>
      <selection pane="bottomLeft" activeCell="B10" sqref="B10"/>
    </sheetView>
  </sheetViews>
  <sheetFormatPr defaultRowHeight="15"/>
  <cols>
    <col min="1" max="1" width="41.42578125" customWidth="1"/>
    <col min="2" max="2" width="46.42578125" style="32" customWidth="1"/>
    <col min="3" max="3" width="51" customWidth="1"/>
    <col min="4" max="7" width="10.7109375" style="32" customWidth="1"/>
    <col min="8" max="8" width="11.140625" style="32" customWidth="1"/>
  </cols>
  <sheetData>
    <row r="1" spans="1:8" ht="26.25" thickBot="1">
      <c r="A1" s="410" t="s">
        <v>0</v>
      </c>
      <c r="B1" s="411"/>
      <c r="C1" s="411"/>
      <c r="D1" s="411"/>
      <c r="E1" s="411"/>
      <c r="F1" s="411"/>
      <c r="G1" s="411"/>
      <c r="H1" s="412"/>
    </row>
    <row r="2" spans="1:8" ht="18" thickBot="1">
      <c r="A2" s="164"/>
      <c r="B2" s="398" t="s">
        <v>54</v>
      </c>
      <c r="C2" s="399"/>
      <c r="D2" s="399"/>
      <c r="E2" s="400"/>
      <c r="F2" s="270"/>
      <c r="G2" s="279"/>
      <c r="H2" s="274"/>
    </row>
    <row r="3" spans="1:8" ht="18" thickBot="1">
      <c r="A3" s="164"/>
      <c r="B3" s="270"/>
      <c r="C3" s="270"/>
      <c r="D3" s="270"/>
      <c r="E3" s="270"/>
      <c r="F3" s="270"/>
      <c r="G3" s="271"/>
      <c r="H3" s="274"/>
    </row>
    <row r="4" spans="1:8" ht="15" customHeight="1" thickBot="1">
      <c r="A4" s="167" t="s">
        <v>71</v>
      </c>
      <c r="B4" s="160"/>
      <c r="C4" s="275"/>
      <c r="D4" s="270"/>
      <c r="E4" s="270"/>
      <c r="F4" s="270"/>
      <c r="G4" s="270"/>
      <c r="H4" s="276"/>
    </row>
    <row r="5" spans="1:8" ht="15" customHeight="1" thickBot="1">
      <c r="A5" s="164"/>
      <c r="B5" s="272"/>
      <c r="C5" s="271"/>
      <c r="D5" s="270"/>
      <c r="E5" s="270"/>
      <c r="F5" s="270"/>
      <c r="G5" s="270"/>
      <c r="H5" s="276"/>
    </row>
    <row r="6" spans="1:8" ht="15" customHeight="1">
      <c r="A6" s="167" t="s">
        <v>72</v>
      </c>
      <c r="B6" s="282"/>
      <c r="C6" s="280">
        <v>28</v>
      </c>
      <c r="D6" s="270"/>
      <c r="E6" s="270"/>
      <c r="F6" s="270"/>
      <c r="G6" s="270"/>
      <c r="H6" s="276"/>
    </row>
    <row r="7" spans="1:8" ht="15" customHeight="1">
      <c r="A7" s="164"/>
      <c r="B7" s="284"/>
      <c r="C7" s="280">
        <v>5</v>
      </c>
      <c r="D7" s="270"/>
      <c r="E7" s="270"/>
      <c r="F7" s="270"/>
      <c r="G7" s="270"/>
      <c r="H7" s="276"/>
    </row>
    <row r="8" spans="1:8" ht="15" customHeight="1" thickBot="1">
      <c r="A8" s="268"/>
      <c r="B8" s="283"/>
      <c r="C8" s="281" t="str">
        <f>TEXT(C6,"dd")</f>
        <v>28</v>
      </c>
      <c r="D8" s="277"/>
      <c r="E8" s="270"/>
      <c r="F8" s="270"/>
      <c r="G8" s="270"/>
      <c r="H8" s="276"/>
    </row>
    <row r="9" spans="1:8" ht="15" customHeight="1" thickBot="1">
      <c r="A9" s="269"/>
      <c r="B9" s="270"/>
      <c r="C9" s="280" t="str">
        <f>TEXT(C7,"dd")</f>
        <v>05</v>
      </c>
      <c r="D9" s="270"/>
      <c r="E9" s="270"/>
      <c r="F9" s="270"/>
      <c r="G9" s="270"/>
      <c r="H9" s="276"/>
    </row>
    <row r="10" spans="1:8" ht="15.75" customHeight="1" thickBot="1">
      <c r="A10" s="167" t="s">
        <v>61</v>
      </c>
      <c r="B10" s="264" t="s">
        <v>158</v>
      </c>
      <c r="C10" s="280"/>
      <c r="D10" s="270"/>
      <c r="E10" s="270"/>
      <c r="F10" s="270"/>
      <c r="G10" s="270"/>
      <c r="H10" s="276"/>
    </row>
    <row r="11" spans="1:8" ht="15" customHeight="1" thickBot="1">
      <c r="A11" s="164"/>
      <c r="B11" s="270"/>
      <c r="C11" s="270"/>
      <c r="D11" s="273"/>
      <c r="E11" s="273"/>
      <c r="F11" s="273"/>
      <c r="G11" s="273"/>
      <c r="H11" s="278"/>
    </row>
    <row r="12" spans="1:8" ht="15.75" customHeight="1" thickBot="1">
      <c r="A12" s="420" t="s">
        <v>73</v>
      </c>
      <c r="B12" s="421"/>
      <c r="C12" s="422"/>
      <c r="D12" s="417" t="s">
        <v>69</v>
      </c>
      <c r="E12" s="418"/>
      <c r="F12" s="418"/>
      <c r="G12" s="418"/>
      <c r="H12" s="419"/>
    </row>
    <row r="13" spans="1:8" ht="15.75" thickBot="1">
      <c r="A13" s="423"/>
      <c r="B13" s="424"/>
      <c r="C13" s="425"/>
      <c r="D13" s="285"/>
      <c r="E13" s="286"/>
      <c r="F13" s="287"/>
      <c r="G13" s="286"/>
      <c r="H13" s="288"/>
    </row>
    <row r="14" spans="1:8" ht="15.75" thickBot="1">
      <c r="A14" s="413" t="s">
        <v>1</v>
      </c>
      <c r="B14" s="415" t="s">
        <v>11</v>
      </c>
      <c r="C14" s="413" t="s">
        <v>68</v>
      </c>
      <c r="D14" s="265" t="s">
        <v>64</v>
      </c>
      <c r="E14" s="265" t="s">
        <v>66</v>
      </c>
      <c r="F14" s="265" t="s">
        <v>161</v>
      </c>
      <c r="G14" s="265" t="s">
        <v>65</v>
      </c>
      <c r="H14" s="265" t="s">
        <v>67</v>
      </c>
    </row>
    <row r="15" spans="1:8" s="17" customFormat="1" ht="15.75" thickBot="1">
      <c r="A15" s="414"/>
      <c r="B15" s="416"/>
      <c r="C15" s="414"/>
      <c r="D15" s="266"/>
      <c r="E15" s="267"/>
      <c r="F15" s="266"/>
      <c r="G15" s="267"/>
      <c r="H15" s="267"/>
    </row>
    <row r="16" spans="1:8">
      <c r="B16"/>
      <c r="D16"/>
      <c r="E16"/>
      <c r="F16"/>
      <c r="G16"/>
      <c r="H16"/>
    </row>
  </sheetData>
  <mergeCells count="7">
    <mergeCell ref="A1:H1"/>
    <mergeCell ref="A14:A15"/>
    <mergeCell ref="B14:B15"/>
    <mergeCell ref="C14:C15"/>
    <mergeCell ref="D12:H12"/>
    <mergeCell ref="B2:E2"/>
    <mergeCell ref="A12:C13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9227" r:id="rId4" name="CSend_Mail">
          <controlPr defaultSize="0" autoLine="0" r:id="rId5">
            <anchor moveWithCells="1">
              <from>
                <xdr:col>2</xdr:col>
                <xdr:colOff>276225</xdr:colOff>
                <xdr:row>6</xdr:row>
                <xdr:rowOff>133350</xdr:rowOff>
              </from>
              <to>
                <xdr:col>2</xdr:col>
                <xdr:colOff>962025</xdr:colOff>
                <xdr:row>8</xdr:row>
                <xdr:rowOff>19050</xdr:rowOff>
              </to>
            </anchor>
          </controlPr>
        </control>
      </mc:Choice>
      <mc:Fallback>
        <control shapeId="9227" r:id="rId4" name="CSend_Mai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SubmitTimeEntry!$AR$3:$AR$4</xm:f>
          </x14:formula1>
          <xm:sqref>B4</xm:sqref>
        </x14:dataValidation>
        <x14:dataValidation type="list" showInputMessage="1" showErrorMessage="1">
          <x14:formula1>
            <xm:f>ResourceList!$AO$2:$AO$13</xm:f>
          </x14:formula1>
          <xm:sqref>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F422"/>
  <sheetViews>
    <sheetView showGridLines="0" workbookViewId="0">
      <selection activeCell="AB27" sqref="AB27:AE32"/>
    </sheetView>
  </sheetViews>
  <sheetFormatPr defaultRowHeight="15"/>
  <cols>
    <col min="1" max="1" width="7.42578125" style="38" customWidth="1"/>
    <col min="2" max="2" width="35" customWidth="1"/>
    <col min="3" max="3" width="20.28515625" style="38" customWidth="1"/>
    <col min="4" max="4" width="32.42578125" customWidth="1"/>
    <col min="27" max="27" width="9.140625" customWidth="1"/>
    <col min="28" max="28" width="14" style="62" customWidth="1"/>
    <col min="29" max="29" width="9.5703125" style="62" customWidth="1"/>
    <col min="30" max="36" width="9.140625" style="62" customWidth="1"/>
    <col min="37" max="37" width="11.5703125" style="62" customWidth="1"/>
    <col min="38" max="38" width="10.7109375" style="62" customWidth="1"/>
    <col min="39" max="39" width="18.5703125" style="62" customWidth="1"/>
    <col min="40" max="40" width="42.85546875" style="62" customWidth="1"/>
    <col min="41" max="41" width="10.85546875" style="62" customWidth="1"/>
    <col min="42" max="58" width="9.140625" style="62" customWidth="1"/>
    <col min="59" max="59" width="9.140625" customWidth="1"/>
  </cols>
  <sheetData>
    <row r="1" spans="1:58" ht="30" customHeight="1">
      <c r="A1" s="296" t="s">
        <v>77</v>
      </c>
      <c r="B1" s="296" t="s">
        <v>15</v>
      </c>
      <c r="C1" s="296" t="s">
        <v>76</v>
      </c>
      <c r="D1" s="296" t="s">
        <v>78</v>
      </c>
      <c r="AB1" s="310"/>
      <c r="AC1" s="310"/>
      <c r="AJ1" s="58"/>
      <c r="AK1" s="59" t="s">
        <v>100</v>
      </c>
      <c r="AL1" s="59" t="s">
        <v>101</v>
      </c>
      <c r="AM1" s="426" t="s">
        <v>102</v>
      </c>
      <c r="AN1" s="427"/>
    </row>
    <row r="2" spans="1:58">
      <c r="A2" s="42">
        <v>1</v>
      </c>
      <c r="B2" s="39" t="s">
        <v>125</v>
      </c>
      <c r="C2" s="40" t="s">
        <v>133</v>
      </c>
      <c r="D2" s="41" t="s">
        <v>80</v>
      </c>
      <c r="E2" s="64"/>
      <c r="AB2" s="310"/>
      <c r="AC2" s="310"/>
      <c r="AJ2" s="58">
        <v>1</v>
      </c>
      <c r="AK2" s="60">
        <v>42400</v>
      </c>
      <c r="AL2" s="60">
        <v>42406</v>
      </c>
      <c r="AM2" s="61" t="str">
        <f>TEXT(AK2,"dd")</f>
        <v>31</v>
      </c>
      <c r="AN2" s="61" t="str">
        <f t="shared" ref="AM2:AN6" si="0">TEXT(AL2,"dd")</f>
        <v>06</v>
      </c>
      <c r="AO2" s="320" t="s">
        <v>98</v>
      </c>
      <c r="AP2" s="62">
        <v>2017</v>
      </c>
    </row>
    <row r="3" spans="1:58">
      <c r="A3" s="42">
        <v>2</v>
      </c>
      <c r="B3" s="39" t="s">
        <v>38</v>
      </c>
      <c r="C3" s="40" t="s">
        <v>133</v>
      </c>
      <c r="D3" s="41" t="s">
        <v>80</v>
      </c>
      <c r="E3" s="64"/>
      <c r="AB3" s="310"/>
      <c r="AC3" s="310"/>
      <c r="AJ3" s="58">
        <v>2</v>
      </c>
      <c r="AK3" s="60">
        <v>42407</v>
      </c>
      <c r="AL3" s="60">
        <v>42413</v>
      </c>
      <c r="AM3" s="61" t="str">
        <f t="shared" si="0"/>
        <v>07</v>
      </c>
      <c r="AN3" s="61" t="str">
        <f t="shared" si="0"/>
        <v>13</v>
      </c>
      <c r="AO3" s="320" t="s">
        <v>97</v>
      </c>
      <c r="AP3" s="62">
        <v>2016</v>
      </c>
    </row>
    <row r="4" spans="1:58">
      <c r="A4" s="42">
        <v>3</v>
      </c>
      <c r="B4" s="39" t="s">
        <v>26</v>
      </c>
      <c r="C4" s="40" t="s">
        <v>79</v>
      </c>
      <c r="D4" s="41" t="s">
        <v>81</v>
      </c>
      <c r="E4" s="64"/>
      <c r="AB4" s="310"/>
      <c r="AC4" s="310"/>
      <c r="AJ4" s="58">
        <v>3</v>
      </c>
      <c r="AK4" s="60">
        <v>42414</v>
      </c>
      <c r="AL4" s="60">
        <v>42420</v>
      </c>
      <c r="AM4" s="61" t="str">
        <f t="shared" si="0"/>
        <v>14</v>
      </c>
      <c r="AN4" s="61" t="str">
        <f t="shared" si="0"/>
        <v>20</v>
      </c>
      <c r="AO4" s="320" t="s">
        <v>96</v>
      </c>
    </row>
    <row r="5" spans="1:58">
      <c r="A5" s="42">
        <v>4</v>
      </c>
      <c r="B5" s="39" t="s">
        <v>150</v>
      </c>
      <c r="C5" s="40" t="s">
        <v>79</v>
      </c>
      <c r="D5" s="41" t="s">
        <v>80</v>
      </c>
      <c r="E5" s="64"/>
      <c r="AB5" s="310"/>
      <c r="AC5" s="310"/>
      <c r="AJ5" s="58">
        <v>4</v>
      </c>
      <c r="AK5" s="60">
        <v>42421</v>
      </c>
      <c r="AL5" s="60">
        <v>42427</v>
      </c>
      <c r="AM5" s="61" t="str">
        <f t="shared" si="0"/>
        <v>21</v>
      </c>
      <c r="AN5" s="61" t="str">
        <f t="shared" si="0"/>
        <v>27</v>
      </c>
      <c r="AO5" s="320" t="s">
        <v>95</v>
      </c>
    </row>
    <row r="6" spans="1:58">
      <c r="A6" s="42">
        <v>5</v>
      </c>
      <c r="B6" s="39" t="s">
        <v>151</v>
      </c>
      <c r="C6" s="40" t="s">
        <v>133</v>
      </c>
      <c r="D6" s="41" t="s">
        <v>80</v>
      </c>
      <c r="E6" s="64"/>
      <c r="AB6" s="310"/>
      <c r="AC6" s="310"/>
      <c r="AJ6" s="58">
        <v>5</v>
      </c>
      <c r="AK6" s="60">
        <v>42428</v>
      </c>
      <c r="AL6" s="60">
        <v>42434</v>
      </c>
      <c r="AM6" s="61" t="str">
        <f t="shared" si="0"/>
        <v>28</v>
      </c>
      <c r="AN6" s="61" t="str">
        <f t="shared" si="0"/>
        <v>05</v>
      </c>
      <c r="AO6" s="320" t="s">
        <v>62</v>
      </c>
    </row>
    <row r="7" spans="1:58">
      <c r="A7" s="42">
        <v>6</v>
      </c>
      <c r="B7" s="39" t="s">
        <v>13</v>
      </c>
      <c r="C7" s="40" t="s">
        <v>133</v>
      </c>
      <c r="D7" s="41" t="s">
        <v>80</v>
      </c>
      <c r="E7" s="64"/>
      <c r="AB7" s="310"/>
      <c r="AC7" s="310"/>
      <c r="AO7" s="320" t="s">
        <v>94</v>
      </c>
    </row>
    <row r="8" spans="1:58">
      <c r="A8" s="42">
        <v>7</v>
      </c>
      <c r="B8" s="39" t="s">
        <v>21</v>
      </c>
      <c r="C8" s="40" t="s">
        <v>79</v>
      </c>
      <c r="D8" s="41" t="s">
        <v>80</v>
      </c>
      <c r="E8" s="64"/>
      <c r="AB8" s="310"/>
      <c r="AC8" s="310"/>
      <c r="AO8" s="320" t="s">
        <v>93</v>
      </c>
    </row>
    <row r="9" spans="1:58">
      <c r="A9" s="42">
        <v>8</v>
      </c>
      <c r="B9" s="39" t="s">
        <v>152</v>
      </c>
      <c r="C9" s="40" t="s">
        <v>133</v>
      </c>
      <c r="D9" s="41" t="s">
        <v>80</v>
      </c>
      <c r="E9" s="64"/>
      <c r="AB9" s="310"/>
      <c r="AC9" s="310"/>
      <c r="AO9" s="320" t="s">
        <v>155</v>
      </c>
    </row>
    <row r="10" spans="1:58">
      <c r="A10" s="42">
        <v>9</v>
      </c>
      <c r="B10" s="39" t="s">
        <v>43</v>
      </c>
      <c r="C10" s="40" t="s">
        <v>133</v>
      </c>
      <c r="D10" s="41" t="s">
        <v>81</v>
      </c>
      <c r="E10" s="64"/>
      <c r="AB10" s="310"/>
      <c r="AC10" s="310"/>
      <c r="AO10" s="320" t="s">
        <v>156</v>
      </c>
    </row>
    <row r="11" spans="1:58">
      <c r="A11" s="42">
        <v>10</v>
      </c>
      <c r="B11" s="39" t="s">
        <v>14</v>
      </c>
      <c r="C11" s="40" t="s">
        <v>133</v>
      </c>
      <c r="D11" s="41" t="s">
        <v>80</v>
      </c>
      <c r="E11" s="64"/>
      <c r="AB11" s="310"/>
      <c r="AC11" s="310"/>
      <c r="AO11" s="320" t="s">
        <v>157</v>
      </c>
    </row>
    <row r="12" spans="1:58">
      <c r="A12" s="42">
        <v>11</v>
      </c>
      <c r="B12" s="39" t="s">
        <v>25</v>
      </c>
      <c r="C12" s="40" t="s">
        <v>79</v>
      </c>
      <c r="D12" s="41" t="s">
        <v>80</v>
      </c>
      <c r="E12" s="64"/>
      <c r="AB12" s="310"/>
      <c r="AC12" s="310"/>
      <c r="AO12" s="320" t="s">
        <v>158</v>
      </c>
    </row>
    <row r="13" spans="1:58">
      <c r="A13" s="42">
        <v>12</v>
      </c>
      <c r="B13" s="39" t="s">
        <v>22</v>
      </c>
      <c r="C13" s="40" t="s">
        <v>79</v>
      </c>
      <c r="D13" s="41" t="s">
        <v>80</v>
      </c>
      <c r="E13" s="64"/>
      <c r="AB13" s="310"/>
      <c r="AC13" s="310"/>
      <c r="AO13" s="320" t="s">
        <v>154</v>
      </c>
    </row>
    <row r="14" spans="1:58">
      <c r="A14" s="42">
        <v>13</v>
      </c>
      <c r="B14" s="39" t="s">
        <v>24</v>
      </c>
      <c r="C14" s="40" t="s">
        <v>79</v>
      </c>
      <c r="D14" s="41" t="s">
        <v>81</v>
      </c>
      <c r="E14" s="64"/>
      <c r="AB14" s="310"/>
      <c r="AC14" s="310"/>
      <c r="AO14" s="320"/>
    </row>
    <row r="15" spans="1:58">
      <c r="A15" s="42">
        <v>14</v>
      </c>
      <c r="B15" s="39" t="s">
        <v>23</v>
      </c>
      <c r="C15" s="40" t="s">
        <v>79</v>
      </c>
      <c r="D15" s="41" t="s">
        <v>80</v>
      </c>
      <c r="E15" s="64"/>
      <c r="AB15" s="310"/>
      <c r="AC15" s="310"/>
    </row>
    <row r="16" spans="1:58" ht="16.5">
      <c r="A16" s="42">
        <v>15</v>
      </c>
      <c r="B16" s="39" t="s">
        <v>153</v>
      </c>
      <c r="C16" s="40" t="s">
        <v>133</v>
      </c>
      <c r="D16" s="41" t="s">
        <v>80</v>
      </c>
      <c r="E16" s="64"/>
      <c r="AB16" s="311">
        <v>1</v>
      </c>
      <c r="AC16" s="311">
        <v>2</v>
      </c>
      <c r="AD16" s="63">
        <v>3</v>
      </c>
      <c r="AE16" s="63">
        <v>4</v>
      </c>
      <c r="AF16" s="63">
        <v>5</v>
      </c>
      <c r="AG16" s="63">
        <v>6</v>
      </c>
      <c r="AH16" s="63">
        <v>7</v>
      </c>
      <c r="AI16" s="63">
        <v>8</v>
      </c>
      <c r="AJ16" s="63">
        <v>9</v>
      </c>
      <c r="AK16" s="63">
        <v>10</v>
      </c>
      <c r="AL16" s="63">
        <v>11</v>
      </c>
      <c r="AM16" s="63">
        <v>12</v>
      </c>
      <c r="AN16" s="63">
        <v>13</v>
      </c>
      <c r="AO16" s="63">
        <v>14</v>
      </c>
      <c r="AP16" s="63">
        <v>15</v>
      </c>
      <c r="AQ16" s="63">
        <v>16</v>
      </c>
      <c r="AR16" s="63">
        <v>17</v>
      </c>
      <c r="AS16" s="63">
        <v>18</v>
      </c>
      <c r="AT16" s="63">
        <v>19</v>
      </c>
      <c r="AU16" s="63">
        <v>20</v>
      </c>
      <c r="AV16" s="63">
        <v>21</v>
      </c>
      <c r="AW16" s="63">
        <v>22</v>
      </c>
      <c r="AX16" s="63">
        <v>23</v>
      </c>
      <c r="AY16" s="63">
        <v>24</v>
      </c>
      <c r="AZ16" s="63">
        <v>25</v>
      </c>
      <c r="BA16" s="63">
        <v>26</v>
      </c>
      <c r="BB16" s="63">
        <v>27</v>
      </c>
      <c r="BC16" s="63">
        <v>28</v>
      </c>
      <c r="BD16" s="63">
        <v>29</v>
      </c>
      <c r="BE16" s="63">
        <v>30</v>
      </c>
      <c r="BF16" s="63">
        <v>31</v>
      </c>
    </row>
    <row r="17" spans="1:29" ht="16.5">
      <c r="A17" s="42">
        <v>16</v>
      </c>
      <c r="B17" s="39" t="s">
        <v>60</v>
      </c>
      <c r="C17" s="40" t="s">
        <v>79</v>
      </c>
      <c r="D17" s="41" t="s">
        <v>82</v>
      </c>
      <c r="E17" s="64"/>
      <c r="AB17" s="312"/>
      <c r="AC17" s="312"/>
    </row>
    <row r="18" spans="1:29" ht="16.5">
      <c r="A18" s="42">
        <v>17</v>
      </c>
      <c r="B18" s="39" t="s">
        <v>39</v>
      </c>
      <c r="C18" s="40" t="s">
        <v>133</v>
      </c>
      <c r="D18" s="41" t="s">
        <v>80</v>
      </c>
      <c r="E18" s="64"/>
      <c r="AB18" s="313">
        <v>42365</v>
      </c>
      <c r="AC18" s="313">
        <v>42371</v>
      </c>
    </row>
    <row r="19" spans="1:29" ht="16.5">
      <c r="A19" s="42">
        <v>18</v>
      </c>
      <c r="B19" s="39" t="s">
        <v>163</v>
      </c>
      <c r="C19" s="40" t="s">
        <v>133</v>
      </c>
      <c r="D19" s="41" t="s">
        <v>80</v>
      </c>
      <c r="E19" s="64"/>
      <c r="AB19" s="311" t="str">
        <f>TEXT(AB18,"MM/DD")</f>
        <v>12/27</v>
      </c>
      <c r="AC19" s="311" t="str">
        <f>TEXT(AC18,"MM/DD")</f>
        <v>01/02</v>
      </c>
    </row>
    <row r="20" spans="1:29">
      <c r="A20" s="42">
        <v>19</v>
      </c>
      <c r="B20" s="39" t="s">
        <v>162</v>
      </c>
      <c r="C20" s="40" t="s">
        <v>79</v>
      </c>
      <c r="D20" s="41" t="s">
        <v>80</v>
      </c>
      <c r="E20" s="64"/>
      <c r="AB20" s="314"/>
      <c r="AC20" s="310"/>
    </row>
    <row r="21" spans="1:29">
      <c r="A21" s="42">
        <v>20</v>
      </c>
      <c r="B21" s="39" t="s">
        <v>165</v>
      </c>
      <c r="C21" s="40" t="s">
        <v>133</v>
      </c>
      <c r="D21" s="41" t="s">
        <v>80</v>
      </c>
      <c r="E21" s="64"/>
      <c r="AB21" s="314"/>
      <c r="AC21" s="310"/>
    </row>
    <row r="22" spans="1:29">
      <c r="A22" s="42">
        <v>21</v>
      </c>
      <c r="B22" s="39" t="s">
        <v>166</v>
      </c>
      <c r="C22" s="40" t="s">
        <v>133</v>
      </c>
      <c r="D22" s="41" t="s">
        <v>80</v>
      </c>
      <c r="E22" s="64"/>
      <c r="AB22" s="310"/>
      <c r="AC22" s="310"/>
    </row>
    <row r="23" spans="1:29">
      <c r="A23" s="42">
        <v>22</v>
      </c>
      <c r="B23" s="39" t="s">
        <v>164</v>
      </c>
      <c r="C23" s="40" t="s">
        <v>79</v>
      </c>
      <c r="D23" s="41" t="s">
        <v>80</v>
      </c>
      <c r="E23" s="64"/>
      <c r="AB23" s="310"/>
      <c r="AC23" s="310"/>
    </row>
    <row r="24" spans="1:29">
      <c r="A24" s="42">
        <v>23</v>
      </c>
      <c r="B24" s="39" t="s">
        <v>167</v>
      </c>
      <c r="C24" s="40" t="s">
        <v>79</v>
      </c>
      <c r="D24" s="41" t="s">
        <v>80</v>
      </c>
      <c r="E24" s="64"/>
    </row>
    <row r="25" spans="1:29">
      <c r="B25" t="s">
        <v>168</v>
      </c>
    </row>
    <row r="50" spans="40:40">
      <c r="AN50" s="347"/>
    </row>
    <row r="58" spans="40:40">
      <c r="AN58" s="347"/>
    </row>
    <row r="81" spans="40:40">
      <c r="AN81" s="347"/>
    </row>
    <row r="90" spans="40:40">
      <c r="AN90" s="347"/>
    </row>
    <row r="101" spans="40:40">
      <c r="AN101" s="62" t="s">
        <v>173</v>
      </c>
    </row>
    <row r="102" spans="40:40">
      <c r="AN102" s="62" t="s">
        <v>175</v>
      </c>
    </row>
    <row r="103" spans="40:40" ht="30">
      <c r="AN103" s="347" t="s">
        <v>176</v>
      </c>
    </row>
    <row r="104" spans="40:40">
      <c r="AN104" s="62" t="s">
        <v>177</v>
      </c>
    </row>
    <row r="105" spans="40:40">
      <c r="AN105" s="62" t="s">
        <v>178</v>
      </c>
    </row>
    <row r="106" spans="40:40">
      <c r="AN106" s="62" t="s">
        <v>173</v>
      </c>
    </row>
    <row r="107" spans="40:40">
      <c r="AN107" s="62" t="s">
        <v>175</v>
      </c>
    </row>
    <row r="108" spans="40:40">
      <c r="AN108" s="62" t="s">
        <v>177</v>
      </c>
    </row>
    <row r="109" spans="40:40">
      <c r="AN109" s="62" t="s">
        <v>179</v>
      </c>
    </row>
    <row r="110" spans="40:40">
      <c r="AN110" s="62" t="s">
        <v>172</v>
      </c>
    </row>
    <row r="111" spans="40:40">
      <c r="AN111" s="62" t="s">
        <v>182</v>
      </c>
    </row>
    <row r="112" spans="40:40">
      <c r="AN112" s="62" t="s">
        <v>182</v>
      </c>
    </row>
    <row r="113" spans="40:40">
      <c r="AN113" s="62" t="s">
        <v>172</v>
      </c>
    </row>
    <row r="114" spans="40:40">
      <c r="AN114" s="62" t="s">
        <v>170</v>
      </c>
    </row>
    <row r="115" spans="40:40">
      <c r="AN115" s="62" t="s">
        <v>171</v>
      </c>
    </row>
    <row r="116" spans="40:40">
      <c r="AN116" s="62" t="s">
        <v>170</v>
      </c>
    </row>
    <row r="117" spans="40:40">
      <c r="AN117" s="62" t="s">
        <v>172</v>
      </c>
    </row>
    <row r="118" spans="40:40">
      <c r="AN118" s="62" t="s">
        <v>173</v>
      </c>
    </row>
    <row r="119" spans="40:40">
      <c r="AN119" s="62" t="s">
        <v>174</v>
      </c>
    </row>
    <row r="120" spans="40:40">
      <c r="AN120" s="62" t="s">
        <v>173</v>
      </c>
    </row>
    <row r="121" spans="40:40">
      <c r="AN121" s="62" t="s">
        <v>175</v>
      </c>
    </row>
    <row r="122" spans="40:40" ht="30">
      <c r="AN122" s="347" t="s">
        <v>176</v>
      </c>
    </row>
    <row r="123" spans="40:40">
      <c r="AN123" s="62" t="s">
        <v>177</v>
      </c>
    </row>
    <row r="124" spans="40:40">
      <c r="AN124" s="62" t="s">
        <v>178</v>
      </c>
    </row>
    <row r="125" spans="40:40">
      <c r="AN125" s="62" t="s">
        <v>173</v>
      </c>
    </row>
    <row r="126" spans="40:40">
      <c r="AN126" s="62" t="s">
        <v>175</v>
      </c>
    </row>
    <row r="127" spans="40:40">
      <c r="AN127" s="62" t="s">
        <v>177</v>
      </c>
    </row>
    <row r="128" spans="40:40">
      <c r="AN128" s="62" t="s">
        <v>179</v>
      </c>
    </row>
    <row r="129" spans="40:40">
      <c r="AN129" s="62" t="s">
        <v>170</v>
      </c>
    </row>
    <row r="130" spans="40:40">
      <c r="AN130" s="62" t="s">
        <v>172</v>
      </c>
    </row>
    <row r="131" spans="40:40">
      <c r="AN131" s="62" t="s">
        <v>173</v>
      </c>
    </row>
    <row r="132" spans="40:40">
      <c r="AN132" s="62" t="s">
        <v>174</v>
      </c>
    </row>
    <row r="133" spans="40:40">
      <c r="AN133" s="62" t="s">
        <v>173</v>
      </c>
    </row>
    <row r="134" spans="40:40">
      <c r="AN134" s="62" t="s">
        <v>175</v>
      </c>
    </row>
    <row r="135" spans="40:40" ht="30">
      <c r="AN135" s="347" t="s">
        <v>176</v>
      </c>
    </row>
    <row r="136" spans="40:40">
      <c r="AN136" s="62" t="s">
        <v>177</v>
      </c>
    </row>
    <row r="137" spans="40:40">
      <c r="AN137" s="62" t="s">
        <v>178</v>
      </c>
    </row>
    <row r="138" spans="40:40">
      <c r="AN138" s="62" t="s">
        <v>173</v>
      </c>
    </row>
    <row r="139" spans="40:40">
      <c r="AN139" s="62" t="s">
        <v>175</v>
      </c>
    </row>
    <row r="140" spans="40:40">
      <c r="AN140" s="62" t="s">
        <v>177</v>
      </c>
    </row>
    <row r="141" spans="40:40">
      <c r="AN141" s="62" t="s">
        <v>179</v>
      </c>
    </row>
    <row r="142" spans="40:40">
      <c r="AN142" s="62" t="s">
        <v>175</v>
      </c>
    </row>
    <row r="143" spans="40:40">
      <c r="AN143" s="62" t="s">
        <v>180</v>
      </c>
    </row>
    <row r="144" spans="40:40">
      <c r="AN144" s="62" t="s">
        <v>181</v>
      </c>
    </row>
    <row r="145" spans="40:40">
      <c r="AN145" s="62" t="s">
        <v>170</v>
      </c>
    </row>
    <row r="146" spans="40:40">
      <c r="AN146" s="62" t="s">
        <v>171</v>
      </c>
    </row>
    <row r="147" spans="40:40">
      <c r="AN147" s="62" t="s">
        <v>172</v>
      </c>
    </row>
    <row r="148" spans="40:40">
      <c r="AN148" s="62" t="s">
        <v>179</v>
      </c>
    </row>
    <row r="149" spans="40:40">
      <c r="AN149" s="62" t="s">
        <v>170</v>
      </c>
    </row>
    <row r="150" spans="40:40">
      <c r="AN150" s="62" t="s">
        <v>173</v>
      </c>
    </row>
    <row r="151" spans="40:40">
      <c r="AN151" s="62" t="s">
        <v>183</v>
      </c>
    </row>
    <row r="152" spans="40:40">
      <c r="AN152" s="62" t="s">
        <v>172</v>
      </c>
    </row>
    <row r="153" spans="40:40">
      <c r="AN153" s="62" t="s">
        <v>179</v>
      </c>
    </row>
    <row r="154" spans="40:40">
      <c r="AN154" s="62" t="s">
        <v>170</v>
      </c>
    </row>
    <row r="155" spans="40:40">
      <c r="AN155" s="62" t="s">
        <v>173</v>
      </c>
    </row>
    <row r="156" spans="40:40">
      <c r="AN156" s="62" t="s">
        <v>184</v>
      </c>
    </row>
    <row r="157" spans="40:40">
      <c r="AN157" s="62" t="s">
        <v>183</v>
      </c>
    </row>
    <row r="158" spans="40:40">
      <c r="AN158" s="62" t="s">
        <v>172</v>
      </c>
    </row>
    <row r="159" spans="40:40">
      <c r="AN159" s="62" t="s">
        <v>179</v>
      </c>
    </row>
    <row r="160" spans="40:40">
      <c r="AN160" s="62" t="s">
        <v>170</v>
      </c>
    </row>
    <row r="161" spans="40:40">
      <c r="AN161" s="62" t="s">
        <v>173</v>
      </c>
    </row>
    <row r="162" spans="40:40">
      <c r="AN162" s="62" t="s">
        <v>184</v>
      </c>
    </row>
    <row r="163" spans="40:40">
      <c r="AN163" s="62" t="s">
        <v>183</v>
      </c>
    </row>
    <row r="164" spans="40:40">
      <c r="AN164" s="62" t="s">
        <v>172</v>
      </c>
    </row>
    <row r="165" spans="40:40">
      <c r="AN165" s="62" t="s">
        <v>179</v>
      </c>
    </row>
    <row r="166" spans="40:40">
      <c r="AN166" s="62" t="s">
        <v>170</v>
      </c>
    </row>
    <row r="167" spans="40:40">
      <c r="AN167" s="62" t="s">
        <v>173</v>
      </c>
    </row>
    <row r="168" spans="40:40">
      <c r="AN168" s="62" t="s">
        <v>184</v>
      </c>
    </row>
    <row r="169" spans="40:40">
      <c r="AN169" s="62" t="s">
        <v>183</v>
      </c>
    </row>
    <row r="170" spans="40:40">
      <c r="AN170" s="62" t="s">
        <v>170</v>
      </c>
    </row>
    <row r="171" spans="40:40">
      <c r="AN171" s="62" t="s">
        <v>171</v>
      </c>
    </row>
    <row r="172" spans="40:40">
      <c r="AN172" s="62" t="s">
        <v>170</v>
      </c>
    </row>
    <row r="173" spans="40:40">
      <c r="AN173" s="62" t="s">
        <v>171</v>
      </c>
    </row>
    <row r="174" spans="40:40">
      <c r="AN174" s="62" t="s">
        <v>170</v>
      </c>
    </row>
    <row r="175" spans="40:40">
      <c r="AN175" s="62" t="s">
        <v>171</v>
      </c>
    </row>
    <row r="176" spans="40:40">
      <c r="AN176" s="62" t="s">
        <v>170</v>
      </c>
    </row>
    <row r="177" spans="40:40">
      <c r="AN177" s="62" t="s">
        <v>171</v>
      </c>
    </row>
    <row r="178" spans="40:40">
      <c r="AN178" s="62" t="s">
        <v>170</v>
      </c>
    </row>
    <row r="179" spans="40:40">
      <c r="AN179" s="62" t="s">
        <v>171</v>
      </c>
    </row>
    <row r="180" spans="40:40">
      <c r="AN180" s="62" t="s">
        <v>170</v>
      </c>
    </row>
    <row r="181" spans="40:40">
      <c r="AN181" s="62" t="s">
        <v>171</v>
      </c>
    </row>
    <row r="182" spans="40:40">
      <c r="AN182" s="62" t="s">
        <v>172</v>
      </c>
    </row>
    <row r="183" spans="40:40">
      <c r="AN183" s="62" t="s">
        <v>179</v>
      </c>
    </row>
    <row r="184" spans="40:40">
      <c r="AN184" s="62" t="s">
        <v>170</v>
      </c>
    </row>
    <row r="185" spans="40:40">
      <c r="AN185" s="62" t="s">
        <v>173</v>
      </c>
    </row>
    <row r="186" spans="40:40">
      <c r="AN186" s="62" t="s">
        <v>183</v>
      </c>
    </row>
    <row r="187" spans="40:40">
      <c r="AN187" s="62" t="s">
        <v>170</v>
      </c>
    </row>
    <row r="188" spans="40:40">
      <c r="AN188" s="62" t="s">
        <v>171</v>
      </c>
    </row>
    <row r="189" spans="40:40">
      <c r="AN189" s="62" t="s">
        <v>170</v>
      </c>
    </row>
    <row r="190" spans="40:40">
      <c r="AN190" s="62" t="s">
        <v>171</v>
      </c>
    </row>
    <row r="191" spans="40:40">
      <c r="AN191" s="62" t="s">
        <v>172</v>
      </c>
    </row>
    <row r="192" spans="40:40">
      <c r="AN192" s="62" t="s">
        <v>179</v>
      </c>
    </row>
    <row r="193" spans="40:40">
      <c r="AN193" s="62" t="s">
        <v>170</v>
      </c>
    </row>
    <row r="194" spans="40:40">
      <c r="AN194" s="62" t="s">
        <v>173</v>
      </c>
    </row>
    <row r="195" spans="40:40">
      <c r="AN195" s="62" t="s">
        <v>172</v>
      </c>
    </row>
    <row r="196" spans="40:40">
      <c r="AN196" s="62" t="s">
        <v>179</v>
      </c>
    </row>
    <row r="197" spans="40:40">
      <c r="AN197" s="62" t="s">
        <v>170</v>
      </c>
    </row>
    <row r="198" spans="40:40">
      <c r="AN198" s="62" t="s">
        <v>173</v>
      </c>
    </row>
    <row r="199" spans="40:40">
      <c r="AN199" s="62" t="s">
        <v>172</v>
      </c>
    </row>
    <row r="200" spans="40:40">
      <c r="AN200" s="62" t="s">
        <v>179</v>
      </c>
    </row>
    <row r="201" spans="40:40">
      <c r="AN201" s="62" t="s">
        <v>170</v>
      </c>
    </row>
    <row r="202" spans="40:40">
      <c r="AN202" s="62" t="s">
        <v>173</v>
      </c>
    </row>
    <row r="203" spans="40:40">
      <c r="AN203" s="62" t="s">
        <v>183</v>
      </c>
    </row>
    <row r="204" spans="40:40">
      <c r="AN204" s="62" t="s">
        <v>172</v>
      </c>
    </row>
    <row r="205" spans="40:40">
      <c r="AN205" s="62" t="s">
        <v>179</v>
      </c>
    </row>
    <row r="206" spans="40:40">
      <c r="AN206" s="62" t="s">
        <v>170</v>
      </c>
    </row>
    <row r="207" spans="40:40">
      <c r="AN207" s="62" t="s">
        <v>173</v>
      </c>
    </row>
    <row r="208" spans="40:40">
      <c r="AN208" s="62" t="s">
        <v>184</v>
      </c>
    </row>
    <row r="209" spans="40:40">
      <c r="AN209" s="62" t="s">
        <v>183</v>
      </c>
    </row>
    <row r="210" spans="40:40">
      <c r="AN210" s="62" t="s">
        <v>172</v>
      </c>
    </row>
    <row r="211" spans="40:40">
      <c r="AN211" s="62" t="s">
        <v>179</v>
      </c>
    </row>
    <row r="212" spans="40:40">
      <c r="AN212" s="62" t="s">
        <v>170</v>
      </c>
    </row>
    <row r="213" spans="40:40">
      <c r="AN213" s="62" t="s">
        <v>173</v>
      </c>
    </row>
    <row r="214" spans="40:40">
      <c r="AN214" s="62" t="s">
        <v>184</v>
      </c>
    </row>
    <row r="215" spans="40:40">
      <c r="AN215" s="62" t="s">
        <v>183</v>
      </c>
    </row>
    <row r="216" spans="40:40">
      <c r="AN216" s="62" t="s">
        <v>172</v>
      </c>
    </row>
    <row r="217" spans="40:40">
      <c r="AN217" s="62" t="s">
        <v>179</v>
      </c>
    </row>
    <row r="218" spans="40:40">
      <c r="AN218" s="62" t="s">
        <v>170</v>
      </c>
    </row>
    <row r="219" spans="40:40">
      <c r="AN219" s="62" t="s">
        <v>173</v>
      </c>
    </row>
    <row r="220" spans="40:40">
      <c r="AN220" s="62" t="s">
        <v>172</v>
      </c>
    </row>
    <row r="221" spans="40:40">
      <c r="AN221" s="62" t="s">
        <v>179</v>
      </c>
    </row>
    <row r="222" spans="40:40">
      <c r="AN222" s="62" t="s">
        <v>170</v>
      </c>
    </row>
    <row r="223" spans="40:40">
      <c r="AN223" s="62" t="s">
        <v>173</v>
      </c>
    </row>
    <row r="224" spans="40:40">
      <c r="AN224" s="62" t="s">
        <v>183</v>
      </c>
    </row>
    <row r="225" spans="40:40">
      <c r="AN225" s="62" t="s">
        <v>172</v>
      </c>
    </row>
    <row r="226" spans="40:40">
      <c r="AN226" s="62" t="s">
        <v>179</v>
      </c>
    </row>
    <row r="227" spans="40:40">
      <c r="AN227" s="62" t="s">
        <v>170</v>
      </c>
    </row>
    <row r="228" spans="40:40">
      <c r="AN228" s="62" t="s">
        <v>173</v>
      </c>
    </row>
    <row r="229" spans="40:40">
      <c r="AN229" s="62" t="s">
        <v>172</v>
      </c>
    </row>
    <row r="230" spans="40:40">
      <c r="AN230" s="62" t="s">
        <v>179</v>
      </c>
    </row>
    <row r="231" spans="40:40">
      <c r="AN231" s="62" t="s">
        <v>170</v>
      </c>
    </row>
    <row r="232" spans="40:40">
      <c r="AN232" s="62" t="s">
        <v>173</v>
      </c>
    </row>
    <row r="233" spans="40:40">
      <c r="AN233" s="62" t="s">
        <v>170</v>
      </c>
    </row>
    <row r="234" spans="40:40">
      <c r="AN234" s="62" t="s">
        <v>171</v>
      </c>
    </row>
    <row r="235" spans="40:40">
      <c r="AN235" s="62" t="s">
        <v>170</v>
      </c>
    </row>
    <row r="236" spans="40:40">
      <c r="AN236" s="62" t="s">
        <v>171</v>
      </c>
    </row>
    <row r="237" spans="40:40">
      <c r="AN237" s="62" t="s">
        <v>170</v>
      </c>
    </row>
    <row r="238" spans="40:40">
      <c r="AN238" s="62" t="s">
        <v>171</v>
      </c>
    </row>
    <row r="239" spans="40:40">
      <c r="AN239" s="62" t="s">
        <v>170</v>
      </c>
    </row>
    <row r="240" spans="40:40">
      <c r="AN240" s="62" t="s">
        <v>171</v>
      </c>
    </row>
    <row r="241" spans="40:40">
      <c r="AN241" s="62" t="s">
        <v>172</v>
      </c>
    </row>
    <row r="242" spans="40:40">
      <c r="AN242" s="62" t="s">
        <v>179</v>
      </c>
    </row>
    <row r="243" spans="40:40">
      <c r="AN243" s="62" t="s">
        <v>170</v>
      </c>
    </row>
    <row r="244" spans="40:40">
      <c r="AN244" s="62" t="s">
        <v>173</v>
      </c>
    </row>
    <row r="245" spans="40:40">
      <c r="AN245" s="62" t="s">
        <v>172</v>
      </c>
    </row>
    <row r="246" spans="40:40">
      <c r="AN246" s="62" t="s">
        <v>179</v>
      </c>
    </row>
    <row r="247" spans="40:40">
      <c r="AN247" s="62" t="s">
        <v>170</v>
      </c>
    </row>
    <row r="248" spans="40:40">
      <c r="AN248" s="62" t="s">
        <v>173</v>
      </c>
    </row>
    <row r="249" spans="40:40">
      <c r="AN249" s="62" t="s">
        <v>172</v>
      </c>
    </row>
    <row r="250" spans="40:40">
      <c r="AN250" s="62" t="s">
        <v>179</v>
      </c>
    </row>
    <row r="251" spans="40:40">
      <c r="AN251" s="62" t="s">
        <v>170</v>
      </c>
    </row>
    <row r="252" spans="40:40">
      <c r="AN252" s="62" t="s">
        <v>173</v>
      </c>
    </row>
    <row r="253" spans="40:40">
      <c r="AN253" s="62" t="s">
        <v>170</v>
      </c>
    </row>
    <row r="254" spans="40:40">
      <c r="AN254" s="62" t="s">
        <v>171</v>
      </c>
    </row>
    <row r="255" spans="40:40">
      <c r="AN255" s="62" t="s">
        <v>172</v>
      </c>
    </row>
    <row r="256" spans="40:40">
      <c r="AN256" s="62" t="s">
        <v>179</v>
      </c>
    </row>
    <row r="257" spans="40:40">
      <c r="AN257" s="62" t="s">
        <v>170</v>
      </c>
    </row>
    <row r="258" spans="40:40">
      <c r="AN258" s="62" t="s">
        <v>173</v>
      </c>
    </row>
    <row r="259" spans="40:40">
      <c r="AN259" s="62" t="s">
        <v>177</v>
      </c>
    </row>
    <row r="260" spans="40:40" ht="30">
      <c r="AN260" s="347" t="s">
        <v>176</v>
      </c>
    </row>
    <row r="261" spans="40:40">
      <c r="AN261" s="62" t="s">
        <v>174</v>
      </c>
    </row>
    <row r="262" spans="40:40">
      <c r="AN262" s="62" t="s">
        <v>173</v>
      </c>
    </row>
    <row r="263" spans="40:40">
      <c r="AN263" s="62" t="s">
        <v>175</v>
      </c>
    </row>
    <row r="264" spans="40:40">
      <c r="AN264" s="62" t="s">
        <v>177</v>
      </c>
    </row>
    <row r="265" spans="40:40">
      <c r="AN265" s="62" t="s">
        <v>173</v>
      </c>
    </row>
    <row r="266" spans="40:40">
      <c r="AN266" s="62" t="s">
        <v>178</v>
      </c>
    </row>
    <row r="267" spans="40:40">
      <c r="AN267" s="62" t="s">
        <v>179</v>
      </c>
    </row>
    <row r="268" spans="40:40">
      <c r="AN268" s="62" t="s">
        <v>175</v>
      </c>
    </row>
    <row r="269" spans="40:40">
      <c r="AN269" s="62" t="s">
        <v>184</v>
      </c>
    </row>
    <row r="270" spans="40:40">
      <c r="AN270" s="62" t="s">
        <v>183</v>
      </c>
    </row>
    <row r="271" spans="40:40">
      <c r="AN271" s="62" t="s">
        <v>172</v>
      </c>
    </row>
    <row r="272" spans="40:40">
      <c r="AN272" s="62" t="s">
        <v>179</v>
      </c>
    </row>
    <row r="273" spans="40:40">
      <c r="AN273" s="62" t="s">
        <v>170</v>
      </c>
    </row>
    <row r="274" spans="40:40">
      <c r="AN274" s="62" t="s">
        <v>173</v>
      </c>
    </row>
    <row r="275" spans="40:40">
      <c r="AN275" s="62" t="s">
        <v>170</v>
      </c>
    </row>
    <row r="276" spans="40:40">
      <c r="AN276" s="62" t="s">
        <v>171</v>
      </c>
    </row>
    <row r="277" spans="40:40">
      <c r="AN277" s="62" t="s">
        <v>170</v>
      </c>
    </row>
    <row r="278" spans="40:40">
      <c r="AN278" s="62" t="s">
        <v>171</v>
      </c>
    </row>
    <row r="279" spans="40:40">
      <c r="AN279" s="62" t="s">
        <v>172</v>
      </c>
    </row>
    <row r="280" spans="40:40">
      <c r="AN280" s="62" t="s">
        <v>179</v>
      </c>
    </row>
    <row r="281" spans="40:40">
      <c r="AN281" s="62" t="s">
        <v>170</v>
      </c>
    </row>
    <row r="282" spans="40:40">
      <c r="AN282" s="62" t="s">
        <v>173</v>
      </c>
    </row>
    <row r="283" spans="40:40">
      <c r="AN283" s="62" t="s">
        <v>184</v>
      </c>
    </row>
    <row r="284" spans="40:40">
      <c r="AN284" s="62" t="s">
        <v>183</v>
      </c>
    </row>
    <row r="285" spans="40:40">
      <c r="AN285" s="62" t="s">
        <v>172</v>
      </c>
    </row>
    <row r="286" spans="40:40">
      <c r="AN286" s="62" t="s">
        <v>179</v>
      </c>
    </row>
    <row r="287" spans="40:40">
      <c r="AN287" s="62" t="s">
        <v>170</v>
      </c>
    </row>
    <row r="288" spans="40:40">
      <c r="AN288" s="62" t="s">
        <v>173</v>
      </c>
    </row>
    <row r="289" spans="40:40">
      <c r="AN289" s="62" t="s">
        <v>172</v>
      </c>
    </row>
    <row r="290" spans="40:40">
      <c r="AN290" s="62" t="s">
        <v>179</v>
      </c>
    </row>
    <row r="291" spans="40:40">
      <c r="AN291" s="62" t="s">
        <v>170</v>
      </c>
    </row>
    <row r="292" spans="40:40">
      <c r="AN292" s="62" t="s">
        <v>173</v>
      </c>
    </row>
    <row r="293" spans="40:40">
      <c r="AN293" s="62" t="s">
        <v>170</v>
      </c>
    </row>
    <row r="294" spans="40:40">
      <c r="AN294" s="62" t="s">
        <v>171</v>
      </c>
    </row>
    <row r="295" spans="40:40">
      <c r="AN295" s="62" t="s">
        <v>172</v>
      </c>
    </row>
    <row r="296" spans="40:40">
      <c r="AN296" s="62" t="s">
        <v>179</v>
      </c>
    </row>
    <row r="297" spans="40:40">
      <c r="AN297" s="62" t="s">
        <v>170</v>
      </c>
    </row>
    <row r="298" spans="40:40">
      <c r="AN298" s="62" t="s">
        <v>173</v>
      </c>
    </row>
    <row r="299" spans="40:40">
      <c r="AN299" s="62" t="s">
        <v>172</v>
      </c>
    </row>
    <row r="300" spans="40:40">
      <c r="AN300" s="62" t="s">
        <v>179</v>
      </c>
    </row>
    <row r="301" spans="40:40">
      <c r="AN301" s="62" t="s">
        <v>170</v>
      </c>
    </row>
    <row r="302" spans="40:40">
      <c r="AN302" s="62" t="s">
        <v>173</v>
      </c>
    </row>
    <row r="303" spans="40:40">
      <c r="AN303" s="62" t="s">
        <v>170</v>
      </c>
    </row>
    <row r="304" spans="40:40">
      <c r="AN304" s="62" t="s">
        <v>171</v>
      </c>
    </row>
    <row r="305" spans="40:40">
      <c r="AN305" s="62" t="s">
        <v>170</v>
      </c>
    </row>
    <row r="306" spans="40:40">
      <c r="AN306" s="62" t="s">
        <v>171</v>
      </c>
    </row>
    <row r="307" spans="40:40">
      <c r="AN307" s="62" t="s">
        <v>170</v>
      </c>
    </row>
    <row r="308" spans="40:40">
      <c r="AN308" s="62" t="s">
        <v>171</v>
      </c>
    </row>
    <row r="309" spans="40:40">
      <c r="AN309" s="62" t="s">
        <v>170</v>
      </c>
    </row>
    <row r="310" spans="40:40">
      <c r="AN310" s="62" t="s">
        <v>186</v>
      </c>
    </row>
    <row r="311" spans="40:40">
      <c r="AN311" s="62" t="s">
        <v>187</v>
      </c>
    </row>
    <row r="312" spans="40:40">
      <c r="AN312" s="62" t="s">
        <v>171</v>
      </c>
    </row>
    <row r="313" spans="40:40">
      <c r="AN313" s="62" t="s">
        <v>170</v>
      </c>
    </row>
    <row r="314" spans="40:40">
      <c r="AN314" s="62" t="s">
        <v>186</v>
      </c>
    </row>
    <row r="315" spans="40:40">
      <c r="AN315" s="62" t="s">
        <v>187</v>
      </c>
    </row>
    <row r="316" spans="40:40">
      <c r="AN316" s="62" t="s">
        <v>171</v>
      </c>
    </row>
    <row r="317" spans="40:40">
      <c r="AN317" s="62" t="s">
        <v>184</v>
      </c>
    </row>
    <row r="318" spans="40:40">
      <c r="AN318" s="62" t="s">
        <v>183</v>
      </c>
    </row>
    <row r="319" spans="40:40">
      <c r="AN319" s="62" t="s">
        <v>170</v>
      </c>
    </row>
    <row r="320" spans="40:40">
      <c r="AN320" s="62" t="s">
        <v>186</v>
      </c>
    </row>
    <row r="321" spans="40:40">
      <c r="AN321" s="62" t="s">
        <v>187</v>
      </c>
    </row>
    <row r="322" spans="40:40">
      <c r="AN322" s="62" t="s">
        <v>171</v>
      </c>
    </row>
    <row r="323" spans="40:40">
      <c r="AN323" s="62" t="s">
        <v>184</v>
      </c>
    </row>
    <row r="324" spans="40:40">
      <c r="AN324" s="62" t="s">
        <v>183</v>
      </c>
    </row>
    <row r="325" spans="40:40">
      <c r="AN325" s="62" t="s">
        <v>170</v>
      </c>
    </row>
    <row r="326" spans="40:40">
      <c r="AN326" s="62" t="s">
        <v>173</v>
      </c>
    </row>
    <row r="327" spans="40:40">
      <c r="AN327" s="62" t="s">
        <v>172</v>
      </c>
    </row>
    <row r="328" spans="40:40">
      <c r="AN328" s="62" t="s">
        <v>179</v>
      </c>
    </row>
    <row r="329" spans="40:40">
      <c r="AN329" s="62" t="s">
        <v>170</v>
      </c>
    </row>
    <row r="330" spans="40:40">
      <c r="AN330" s="62" t="s">
        <v>186</v>
      </c>
    </row>
    <row r="331" spans="40:40">
      <c r="AN331" s="62" t="s">
        <v>187</v>
      </c>
    </row>
    <row r="332" spans="40:40">
      <c r="AN332" s="62" t="s">
        <v>171</v>
      </c>
    </row>
    <row r="333" spans="40:40">
      <c r="AN333" s="62" t="s">
        <v>184</v>
      </c>
    </row>
    <row r="334" spans="40:40">
      <c r="AN334" s="62" t="s">
        <v>183</v>
      </c>
    </row>
    <row r="335" spans="40:40">
      <c r="AN335" s="62" t="s">
        <v>170</v>
      </c>
    </row>
    <row r="336" spans="40:40">
      <c r="AN336" s="62" t="s">
        <v>173</v>
      </c>
    </row>
    <row r="337" spans="40:40">
      <c r="AN337" s="62" t="s">
        <v>172</v>
      </c>
    </row>
    <row r="338" spans="40:40">
      <c r="AN338" s="62" t="s">
        <v>179</v>
      </c>
    </row>
    <row r="339" spans="40:40">
      <c r="AN339" s="62" t="s">
        <v>170</v>
      </c>
    </row>
    <row r="340" spans="40:40">
      <c r="AN340" s="62" t="s">
        <v>186</v>
      </c>
    </row>
    <row r="341" spans="40:40">
      <c r="AN341" s="62" t="s">
        <v>187</v>
      </c>
    </row>
    <row r="342" spans="40:40">
      <c r="AN342" s="62" t="s">
        <v>171</v>
      </c>
    </row>
    <row r="343" spans="40:40">
      <c r="AN343" s="62" t="s">
        <v>184</v>
      </c>
    </row>
    <row r="344" spans="40:40">
      <c r="AN344" s="62" t="s">
        <v>183</v>
      </c>
    </row>
    <row r="345" spans="40:40">
      <c r="AN345" s="62" t="s">
        <v>171</v>
      </c>
    </row>
    <row r="346" spans="40:40">
      <c r="AN346" s="62" t="s">
        <v>170</v>
      </c>
    </row>
    <row r="347" spans="40:40">
      <c r="AN347" s="62" t="s">
        <v>187</v>
      </c>
    </row>
    <row r="348" spans="40:40">
      <c r="AN348" s="62" t="s">
        <v>186</v>
      </c>
    </row>
    <row r="349" spans="40:40">
      <c r="AN349" s="62" t="s">
        <v>172</v>
      </c>
    </row>
    <row r="350" spans="40:40">
      <c r="AN350" s="62" t="s">
        <v>184</v>
      </c>
    </row>
    <row r="351" spans="40:40">
      <c r="AN351" s="62" t="s">
        <v>183</v>
      </c>
    </row>
    <row r="352" spans="40:40">
      <c r="AN352" s="62" t="s">
        <v>171</v>
      </c>
    </row>
    <row r="353" spans="40:40">
      <c r="AN353" s="62" t="s">
        <v>170</v>
      </c>
    </row>
    <row r="354" spans="40:40">
      <c r="AN354" s="62" t="s">
        <v>187</v>
      </c>
    </row>
    <row r="355" spans="40:40">
      <c r="AN355" s="62" t="s">
        <v>186</v>
      </c>
    </row>
    <row r="356" spans="40:40">
      <c r="AN356" s="62" t="s">
        <v>172</v>
      </c>
    </row>
    <row r="357" spans="40:40">
      <c r="AN357" s="62" t="s">
        <v>184</v>
      </c>
    </row>
    <row r="358" spans="40:40">
      <c r="AN358" s="62" t="s">
        <v>183</v>
      </c>
    </row>
    <row r="359" spans="40:40">
      <c r="AN359" s="62" t="s">
        <v>173</v>
      </c>
    </row>
    <row r="360" spans="40:40">
      <c r="AN360" s="62" t="s">
        <v>172</v>
      </c>
    </row>
    <row r="361" spans="40:40">
      <c r="AN361" s="62" t="s">
        <v>179</v>
      </c>
    </row>
    <row r="362" spans="40:40">
      <c r="AN362" s="62" t="s">
        <v>170</v>
      </c>
    </row>
    <row r="363" spans="40:40">
      <c r="AN363" s="62" t="s">
        <v>171</v>
      </c>
    </row>
    <row r="364" spans="40:40">
      <c r="AN364" s="62" t="s">
        <v>170</v>
      </c>
    </row>
    <row r="365" spans="40:40">
      <c r="AN365" s="62" t="s">
        <v>187</v>
      </c>
    </row>
    <row r="366" spans="40:40">
      <c r="AN366" s="62" t="s">
        <v>186</v>
      </c>
    </row>
    <row r="367" spans="40:40">
      <c r="AN367" s="62" t="s">
        <v>172</v>
      </c>
    </row>
    <row r="368" spans="40:40">
      <c r="AN368" s="62" t="s">
        <v>184</v>
      </c>
    </row>
    <row r="369" spans="40:40">
      <c r="AN369" s="62" t="s">
        <v>183</v>
      </c>
    </row>
    <row r="370" spans="40:40">
      <c r="AN370" s="62" t="s">
        <v>194</v>
      </c>
    </row>
    <row r="371" spans="40:40">
      <c r="AN371" s="62" t="s">
        <v>195</v>
      </c>
    </row>
    <row r="372" spans="40:40">
      <c r="AN372" s="62" t="s">
        <v>196</v>
      </c>
    </row>
    <row r="373" spans="40:40">
      <c r="AN373" s="62" t="s">
        <v>197</v>
      </c>
    </row>
    <row r="374" spans="40:40">
      <c r="AN374" s="62" t="s">
        <v>198</v>
      </c>
    </row>
    <row r="375" spans="40:40">
      <c r="AN375" s="62" t="s">
        <v>199</v>
      </c>
    </row>
    <row r="376" spans="40:40">
      <c r="AN376" s="62" t="s">
        <v>200</v>
      </c>
    </row>
    <row r="377" spans="40:40">
      <c r="AN377" s="62" t="s">
        <v>201</v>
      </c>
    </row>
    <row r="378" spans="40:40">
      <c r="AN378" s="62" t="s">
        <v>202</v>
      </c>
    </row>
    <row r="379" spans="40:40">
      <c r="AN379" s="62" t="s">
        <v>190</v>
      </c>
    </row>
    <row r="380" spans="40:40">
      <c r="AN380" s="62" t="s">
        <v>184</v>
      </c>
    </row>
    <row r="381" spans="40:40">
      <c r="AN381" s="62" t="s">
        <v>183</v>
      </c>
    </row>
    <row r="382" spans="40:40">
      <c r="AN382" s="62" t="s">
        <v>171</v>
      </c>
    </row>
    <row r="383" spans="40:40">
      <c r="AN383" s="62" t="s">
        <v>170</v>
      </c>
    </row>
    <row r="384" spans="40:40">
      <c r="AN384" s="62" t="s">
        <v>187</v>
      </c>
    </row>
    <row r="385" spans="40:40">
      <c r="AN385" s="62" t="s">
        <v>186</v>
      </c>
    </row>
    <row r="386" spans="40:40">
      <c r="AN386" s="62" t="s">
        <v>172</v>
      </c>
    </row>
    <row r="387" spans="40:40">
      <c r="AN387" s="62" t="s">
        <v>184</v>
      </c>
    </row>
    <row r="388" spans="40:40">
      <c r="AN388" s="62" t="s">
        <v>183</v>
      </c>
    </row>
    <row r="389" spans="40:40">
      <c r="AN389" s="62" t="s">
        <v>194</v>
      </c>
    </row>
    <row r="390" spans="40:40">
      <c r="AN390" s="62" t="s">
        <v>195</v>
      </c>
    </row>
    <row r="391" spans="40:40">
      <c r="AN391" s="62" t="s">
        <v>196</v>
      </c>
    </row>
    <row r="392" spans="40:40">
      <c r="AN392" s="62" t="s">
        <v>197</v>
      </c>
    </row>
    <row r="393" spans="40:40">
      <c r="AN393" s="62" t="s">
        <v>198</v>
      </c>
    </row>
    <row r="394" spans="40:40">
      <c r="AN394" s="62" t="s">
        <v>199</v>
      </c>
    </row>
    <row r="395" spans="40:40">
      <c r="AN395" s="62" t="s">
        <v>210</v>
      </c>
    </row>
    <row r="396" spans="40:40">
      <c r="AN396" s="62" t="s">
        <v>211</v>
      </c>
    </row>
    <row r="397" spans="40:40">
      <c r="AN397" s="62" t="s">
        <v>186</v>
      </c>
    </row>
    <row r="398" spans="40:40">
      <c r="AN398" s="62" t="s">
        <v>200</v>
      </c>
    </row>
    <row r="399" spans="40:40">
      <c r="AN399" s="62" t="s">
        <v>201</v>
      </c>
    </row>
    <row r="400" spans="40:40">
      <c r="AN400" s="62" t="s">
        <v>202</v>
      </c>
    </row>
    <row r="401" spans="40:40">
      <c r="AN401" s="62" t="s">
        <v>190</v>
      </c>
    </row>
    <row r="402" spans="40:40">
      <c r="AN402" s="62" t="s">
        <v>184</v>
      </c>
    </row>
    <row r="403" spans="40:40">
      <c r="AN403" s="62" t="s">
        <v>183</v>
      </c>
    </row>
    <row r="404" spans="40:40">
      <c r="AN404" s="62" t="s">
        <v>171</v>
      </c>
    </row>
    <row r="405" spans="40:40">
      <c r="AN405" s="62" t="s">
        <v>170</v>
      </c>
    </row>
    <row r="406" spans="40:40">
      <c r="AN406" s="62" t="s">
        <v>187</v>
      </c>
    </row>
    <row r="407" spans="40:40">
      <c r="AN407" s="62" t="s">
        <v>186</v>
      </c>
    </row>
    <row r="408" spans="40:40">
      <c r="AN408" s="62" t="s">
        <v>172</v>
      </c>
    </row>
    <row r="409" spans="40:40">
      <c r="AN409" s="62" t="s">
        <v>184</v>
      </c>
    </row>
    <row r="410" spans="40:40">
      <c r="AN410" s="62" t="s">
        <v>183</v>
      </c>
    </row>
    <row r="411" spans="40:40">
      <c r="AN411" s="62" t="s">
        <v>173</v>
      </c>
    </row>
    <row r="412" spans="40:40">
      <c r="AN412" s="62" t="s">
        <v>172</v>
      </c>
    </row>
    <row r="413" spans="40:40">
      <c r="AN413" s="62" t="s">
        <v>179</v>
      </c>
    </row>
    <row r="414" spans="40:40">
      <c r="AN414" s="62" t="s">
        <v>170</v>
      </c>
    </row>
    <row r="415" spans="40:40">
      <c r="AN415" s="62" t="s">
        <v>171</v>
      </c>
    </row>
    <row r="416" spans="40:40">
      <c r="AN416" s="62" t="s">
        <v>170</v>
      </c>
    </row>
    <row r="417" spans="40:40">
      <c r="AN417" s="62" t="s">
        <v>187</v>
      </c>
    </row>
    <row r="418" spans="40:40">
      <c r="AN418" s="62" t="s">
        <v>186</v>
      </c>
    </row>
    <row r="419" spans="40:40">
      <c r="AN419" s="62" t="s">
        <v>172</v>
      </c>
    </row>
    <row r="420" spans="40:40">
      <c r="AN420" s="62" t="s">
        <v>184</v>
      </c>
    </row>
    <row r="421" spans="40:40">
      <c r="AN421" s="62" t="s">
        <v>183</v>
      </c>
    </row>
    <row r="422" spans="40:40">
      <c r="AN422" s="62" t="s">
        <v>184</v>
      </c>
    </row>
  </sheetData>
  <mergeCells count="1">
    <mergeCell ref="AM1:AN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99CC"/>
  </sheetPr>
  <dimension ref="A1"/>
  <sheetViews>
    <sheetView showGridLines="0" workbookViewId="0"/>
  </sheetViews>
  <sheetFormatPr defaultRowHeight="15"/>
  <cols>
    <col min="1" max="1" width="30.140625" customWidth="1"/>
    <col min="2" max="2" width="15" bestFit="1" customWidth="1"/>
    <col min="3" max="3" width="44.28515625" bestFit="1" customWidth="1"/>
    <col min="4" max="4" width="9.28515625" bestFit="1" customWidth="1"/>
    <col min="5" max="5" width="38.85546875" bestFit="1" customWidth="1"/>
    <col min="6" max="6" width="41.5703125" bestFit="1" customWidth="1"/>
    <col min="7" max="7" width="10.5703125" bestFit="1" customWidth="1"/>
    <col min="8" max="8" width="8.5703125" bestFit="1" customWidth="1"/>
    <col min="9" max="9" width="5.85546875" bestFit="1" customWidth="1"/>
    <col min="10" max="10" width="20.7109375" bestFit="1" customWidth="1"/>
    <col min="11" max="11" width="16.7109375" bestFit="1" customWidth="1"/>
  </cols>
  <sheetData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H12"/>
  <sheetViews>
    <sheetView showGridLines="0" showRowColHeaders="0" workbookViewId="0">
      <selection activeCell="C7" sqref="C7"/>
    </sheetView>
  </sheetViews>
  <sheetFormatPr defaultRowHeight="15"/>
  <cols>
    <col min="1" max="1" width="20.85546875" customWidth="1"/>
    <col min="2" max="2" width="21.85546875" customWidth="1"/>
    <col min="3" max="3" width="48.28515625" customWidth="1"/>
    <col min="4" max="4" width="10.5703125" bestFit="1" customWidth="1"/>
    <col min="5" max="5" width="65.28515625" bestFit="1" customWidth="1"/>
    <col min="6" max="6" width="21.7109375" bestFit="1" customWidth="1"/>
    <col min="7" max="7" width="9.5703125" bestFit="1" customWidth="1"/>
    <col min="8" max="8" width="25.140625" bestFit="1" customWidth="1"/>
  </cols>
  <sheetData>
    <row r="1" spans="1:8" ht="26.25" thickBot="1">
      <c r="A1" s="428" t="s">
        <v>0</v>
      </c>
      <c r="B1" s="429"/>
      <c r="C1" s="429"/>
      <c r="D1" s="429"/>
      <c r="E1" s="429"/>
      <c r="F1" s="429"/>
      <c r="G1" s="429"/>
      <c r="H1" s="430"/>
    </row>
    <row r="2" spans="1:8" ht="18" thickBot="1">
      <c r="A2" s="290"/>
      <c r="B2" s="291"/>
      <c r="C2" s="431" t="s">
        <v>128</v>
      </c>
      <c r="D2" s="432"/>
      <c r="E2" s="432"/>
      <c r="F2" s="433"/>
      <c r="G2" s="292"/>
      <c r="H2" s="293"/>
    </row>
    <row r="3" spans="1:8" ht="15.75" thickBot="1">
      <c r="A3" s="194"/>
      <c r="B3" s="195"/>
      <c r="C3" s="195"/>
      <c r="D3" s="195"/>
      <c r="E3" s="206"/>
      <c r="F3" s="206"/>
      <c r="G3" s="206"/>
      <c r="H3" s="235"/>
    </row>
    <row r="4" spans="1:8" ht="15.75" thickBot="1">
      <c r="A4" s="294"/>
      <c r="B4" s="197"/>
      <c r="C4" s="197"/>
      <c r="D4" s="197"/>
      <c r="E4" s="207"/>
      <c r="F4" s="207"/>
      <c r="G4" s="207"/>
      <c r="H4" s="235"/>
    </row>
    <row r="5" spans="1:8">
      <c r="A5" s="295"/>
      <c r="B5" s="198"/>
      <c r="C5" s="198"/>
      <c r="D5" s="197"/>
      <c r="E5" s="207"/>
      <c r="F5" s="207"/>
      <c r="G5" s="207"/>
      <c r="H5" s="235"/>
    </row>
    <row r="6" spans="1:8" ht="15.75" thickBot="1">
      <c r="A6" s="268"/>
      <c r="B6" s="197"/>
      <c r="C6" s="210"/>
      <c r="D6" s="197"/>
      <c r="E6" s="207"/>
      <c r="F6" s="207"/>
      <c r="G6" s="207"/>
      <c r="H6" s="235"/>
    </row>
    <row r="7" spans="1:8" ht="15.75" thickBot="1">
      <c r="A7" s="196"/>
      <c r="B7" s="198" t="s">
        <v>126</v>
      </c>
      <c r="C7" s="134"/>
      <c r="D7" s="197"/>
      <c r="E7" s="207"/>
      <c r="F7" s="207"/>
      <c r="G7" s="207"/>
      <c r="H7" s="235"/>
    </row>
    <row r="8" spans="1:8" ht="15.75" thickBot="1">
      <c r="A8" s="196"/>
      <c r="B8" s="199"/>
      <c r="C8" s="321"/>
      <c r="D8" s="197"/>
      <c r="E8" s="207"/>
      <c r="F8" s="207"/>
      <c r="G8" s="207"/>
      <c r="H8" s="235"/>
    </row>
    <row r="9" spans="1:8" ht="15.75" thickBot="1">
      <c r="A9" s="200"/>
      <c r="B9" s="201"/>
      <c r="C9" s="322"/>
      <c r="D9" s="197"/>
      <c r="E9" s="207"/>
      <c r="F9" s="207"/>
      <c r="G9" s="213"/>
      <c r="H9" s="235"/>
    </row>
    <row r="10" spans="1:8">
      <c r="A10" s="202"/>
      <c r="B10" s="203"/>
      <c r="C10" s="208"/>
      <c r="D10" s="197"/>
      <c r="E10" s="207"/>
      <c r="F10" s="207"/>
      <c r="G10" s="214"/>
      <c r="H10" s="235"/>
    </row>
    <row r="11" spans="1:8" ht="15.75" thickBot="1">
      <c r="A11" s="204"/>
      <c r="B11" s="205"/>
      <c r="C11" s="209"/>
      <c r="D11" s="210"/>
      <c r="E11" s="211"/>
      <c r="F11" s="211"/>
      <c r="G11" s="211"/>
      <c r="H11" s="236"/>
    </row>
    <row r="12" spans="1:8" ht="27.75" customHeight="1" thickBot="1">
      <c r="A12" s="289"/>
      <c r="B12" s="289"/>
      <c r="C12" s="289"/>
      <c r="D12" s="289"/>
      <c r="E12" s="289"/>
      <c r="F12" s="289"/>
      <c r="G12" s="289"/>
      <c r="H12" s="289"/>
    </row>
  </sheetData>
  <mergeCells count="2">
    <mergeCell ref="A1:H1"/>
    <mergeCell ref="C2:F2"/>
  </mergeCells>
  <conditionalFormatting sqref="C20:C132">
    <cfRule type="expression" dxfId="0" priority="1">
      <formula>"ACTIVE"</formula>
    </cfRule>
  </conditionalFormatting>
  <dataValidations count="1">
    <dataValidation showInputMessage="1" showErrorMessage="1" sqref="E7:F7 C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500" r:id="rId4" name="Request">
          <controlPr defaultSize="0" disabled="1" autoLine="0" r:id="rId5">
            <anchor moveWithCells="1">
              <from>
                <xdr:col>3</xdr:col>
                <xdr:colOff>266700</xdr:colOff>
                <xdr:row>5</xdr:row>
                <xdr:rowOff>161925</xdr:rowOff>
              </from>
              <to>
                <xdr:col>4</xdr:col>
                <xdr:colOff>504825</xdr:colOff>
                <xdr:row>7</xdr:row>
                <xdr:rowOff>28575</xdr:rowOff>
              </to>
            </anchor>
          </controlPr>
        </control>
      </mc:Choice>
      <mc:Fallback>
        <control shapeId="20500" r:id="rId4" name="Request"/>
      </mc:Fallback>
    </mc:AlternateContent>
    <mc:AlternateContent xmlns:mc="http://schemas.openxmlformats.org/markup-compatibility/2006">
      <mc:Choice Requires="x14">
        <control shapeId="20489" r:id="rId6" name="TempCombo1">
          <controlPr defaultSize="0" autoLine="0" r:id="rId7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133350</xdr:colOff>
                <xdr:row>0</xdr:row>
                <xdr:rowOff>266700</xdr:rowOff>
              </to>
            </anchor>
          </controlPr>
        </control>
      </mc:Choice>
      <mc:Fallback>
        <control shapeId="20489" r:id="rId6" name="TempCombo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SubmitTimeEntry!AQ16:AQ17</xm:f>
          </x14:formula1>
          <xm:sqref>C7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2" tint="-0.749992370372631"/>
  </sheetPr>
  <dimension ref="A1:H10"/>
  <sheetViews>
    <sheetView showGridLines="0" showRowColHeaders="0" workbookViewId="0">
      <selection activeCell="C6" sqref="C6"/>
    </sheetView>
  </sheetViews>
  <sheetFormatPr defaultRowHeight="15"/>
  <cols>
    <col min="1" max="1" width="22" customWidth="1"/>
    <col min="2" max="2" width="17.7109375" customWidth="1"/>
    <col min="3" max="3" width="25.7109375" bestFit="1" customWidth="1"/>
    <col min="4" max="4" width="27.140625" customWidth="1"/>
    <col min="5" max="5" width="24.85546875" customWidth="1"/>
    <col min="6" max="6" width="25.85546875" customWidth="1"/>
    <col min="7" max="7" width="23.5703125" customWidth="1"/>
    <col min="8" max="8" width="22.85546875" customWidth="1"/>
  </cols>
  <sheetData>
    <row r="1" spans="1:8" ht="26.25" thickBot="1">
      <c r="A1" s="428" t="s">
        <v>0</v>
      </c>
      <c r="B1" s="429"/>
      <c r="C1" s="429"/>
      <c r="D1" s="429"/>
      <c r="E1" s="429"/>
      <c r="F1" s="429"/>
      <c r="G1" s="429"/>
      <c r="H1" s="430"/>
    </row>
    <row r="2" spans="1:8" ht="18" thickBot="1">
      <c r="A2" s="194"/>
      <c r="B2" s="304"/>
      <c r="C2" s="431" t="s">
        <v>146</v>
      </c>
      <c r="D2" s="432"/>
      <c r="E2" s="432"/>
      <c r="F2" s="433"/>
      <c r="G2" s="207"/>
      <c r="H2" s="235"/>
    </row>
    <row r="3" spans="1:8">
      <c r="A3" s="194"/>
      <c r="B3" s="195"/>
      <c r="C3" s="195"/>
      <c r="D3" s="195"/>
      <c r="E3" s="206"/>
      <c r="F3" s="206"/>
      <c r="G3" s="206"/>
      <c r="H3" s="235"/>
    </row>
    <row r="4" spans="1:8">
      <c r="A4" s="196"/>
      <c r="B4" s="199"/>
      <c r="C4" s="208"/>
      <c r="D4" s="197"/>
      <c r="E4" s="207"/>
      <c r="F4" s="207"/>
      <c r="G4" s="207"/>
      <c r="H4" s="235"/>
    </row>
    <row r="5" spans="1:8" ht="15.75" thickBot="1">
      <c r="A5" s="295"/>
      <c r="B5" s="199"/>
      <c r="C5" s="208"/>
      <c r="D5" s="197"/>
      <c r="E5" s="207"/>
      <c r="F5" s="207"/>
      <c r="G5" s="207"/>
      <c r="H5" s="235"/>
    </row>
    <row r="6" spans="1:8" ht="15.75" thickBot="1">
      <c r="A6" s="268"/>
      <c r="B6" s="201" t="s">
        <v>147</v>
      </c>
      <c r="C6" s="134"/>
      <c r="D6" s="197"/>
      <c r="E6" s="207"/>
      <c r="F6" s="207"/>
      <c r="G6" s="207"/>
      <c r="H6" s="235"/>
    </row>
    <row r="7" spans="1:8">
      <c r="A7" s="268"/>
      <c r="B7" s="201"/>
      <c r="C7" s="208"/>
      <c r="D7" s="197"/>
      <c r="E7" s="207"/>
      <c r="F7" s="207"/>
      <c r="G7" s="207"/>
      <c r="H7" s="235"/>
    </row>
    <row r="8" spans="1:8">
      <c r="A8" s="268"/>
      <c r="B8" s="201"/>
      <c r="C8" s="208"/>
      <c r="D8" s="197"/>
      <c r="E8" s="207"/>
      <c r="F8" s="207"/>
      <c r="G8" s="207"/>
      <c r="H8" s="235"/>
    </row>
    <row r="9" spans="1:8" ht="15.75" thickBot="1">
      <c r="A9" s="196"/>
      <c r="B9" s="198"/>
      <c r="C9" s="208"/>
      <c r="D9" s="197"/>
      <c r="E9" s="207"/>
      <c r="F9" s="207"/>
      <c r="G9" s="207"/>
      <c r="H9" s="235"/>
    </row>
    <row r="10" spans="1:8" ht="36" customHeight="1" thickBot="1">
      <c r="A10" s="302" t="s">
        <v>15</v>
      </c>
      <c r="B10" s="303" t="s">
        <v>42</v>
      </c>
      <c r="C10" s="302" t="s">
        <v>140</v>
      </c>
      <c r="D10" s="303" t="s">
        <v>141</v>
      </c>
      <c r="E10" s="303" t="s">
        <v>142</v>
      </c>
      <c r="F10" s="303" t="s">
        <v>144</v>
      </c>
      <c r="G10" s="303" t="s">
        <v>143</v>
      </c>
      <c r="H10" s="303" t="s">
        <v>145</v>
      </c>
    </row>
  </sheetData>
  <mergeCells count="2">
    <mergeCell ref="A1:H1"/>
    <mergeCell ref="C2:F2"/>
  </mergeCells>
  <dataValidations count="1">
    <dataValidation showInputMessage="1" showErrorMessage="1" sqref="C4 E9:F9 C9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11" r:id="rId4" name="UpdateAuthorization">
          <controlPr defaultSize="0" autoLine="0" r:id="rId5">
            <anchor moveWithCells="1">
              <from>
                <xdr:col>3</xdr:col>
                <xdr:colOff>361950</xdr:colOff>
                <xdr:row>4</xdr:row>
                <xdr:rowOff>171450</xdr:rowOff>
              </from>
              <to>
                <xdr:col>3</xdr:col>
                <xdr:colOff>1743075</xdr:colOff>
                <xdr:row>6</xdr:row>
                <xdr:rowOff>47625</xdr:rowOff>
              </to>
            </anchor>
          </controlPr>
        </control>
      </mc:Choice>
      <mc:Fallback>
        <control shapeId="21511" r:id="rId4" name="UpdateAuthorizati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SubmitTimeEntry!AN29:AN46</xm:f>
          </x14:formula1>
          <xm:sqref>C6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SubmitTimeEntry</vt:lpstr>
      <vt:lpstr>UserRequestAndApprovals</vt:lpstr>
      <vt:lpstr>_2015_SB_eCommerce_Projects</vt:lpstr>
      <vt:lpstr>AllProjects</vt:lpstr>
      <vt:lpstr>ReviewTimeEntry!ClarityProj</vt:lpstr>
      <vt:lpstr>ClarityProj</vt:lpstr>
      <vt:lpstr>ReviewTimeEntry!ClarityProjects</vt:lpstr>
      <vt:lpstr>ClarityProjects</vt:lpstr>
      <vt:lpstr>ReviewTimeEntry!Data</vt:lpstr>
      <vt:lpstr>SubmitTimeEntry!Data</vt:lpstr>
      <vt:lpstr>ReviewTimeEntry!Data1</vt:lpstr>
      <vt:lpstr>Date</vt:lpstr>
      <vt:lpstr>DBConnectionType</vt:lpstr>
      <vt:lpstr>SubmitTimeEntry!Resources</vt:lpstr>
      <vt:lpstr>ReviewedBY</vt:lpstr>
      <vt:lpstr>SubmitTimeEntry!Reviewers</vt:lpstr>
      <vt:lpstr>ResourceList!tasks</vt:lpstr>
      <vt:lpstr>UserClarityStatus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Srivastava</dc:creator>
  <cp:lastModifiedBy>Ashutosh Kumar (CHR)</cp:lastModifiedBy>
  <dcterms:created xsi:type="dcterms:W3CDTF">2015-04-29T09:40:14Z</dcterms:created>
  <dcterms:modified xsi:type="dcterms:W3CDTF">2017-04-21T09:53:20Z</dcterms:modified>
</cp:coreProperties>
</file>